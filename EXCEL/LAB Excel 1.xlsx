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st-Student\Documents\gg\"/>
    </mc:Choice>
  </mc:AlternateContent>
  <xr:revisionPtr revIDLastSave="0" documentId="13_ncr:1_{7E3F28AC-0F79-4DC4-BB3A-47D4C4DAB3A6}" xr6:coauthVersionLast="47" xr6:coauthVersionMax="47" xr10:uidLastSave="{00000000-0000-0000-0000-000000000000}"/>
  <bookViews>
    <workbookView xWindow="-120" yWindow="-120" windowWidth="29040" windowHeight="15720" firstSheet="2" activeTab="11" xr2:uid="{771BFCF0-5A43-49F3-A529-D7DB388D29CC}"/>
  </bookViews>
  <sheets>
    <sheet name="Sheet1" sheetId="1" r:id="rId1"/>
    <sheet name="Date and Time" sheetId="2" r:id="rId2"/>
    <sheet name="Paste Pattern" sheetId="3" r:id="rId3"/>
    <sheet name="Sheet3" sheetId="12" r:id="rId4"/>
    <sheet name="Fix Cell Reference" sheetId="4" r:id="rId5"/>
    <sheet name="refer cell" sheetId="5" r:id="rId6"/>
    <sheet name="Data Validationn" sheetId="6" r:id="rId7"/>
    <sheet name="รายการ" sheetId="7" r:id="rId8"/>
    <sheet name="Fill &amp; Handle" sheetId="8" r:id="rId9"/>
    <sheet name="Sort &amp; Filter" sheetId="10" r:id="rId10"/>
    <sheet name="Text" sheetId="13" r:id="rId11"/>
    <sheet name="คำนวณกู้บ้าน" sheetId="14" r:id="rId12"/>
  </sheets>
  <definedNames>
    <definedName name="_xlnm._FilterDatabase" localSheetId="9" hidden="1">'Sort &amp; Filter'!$A$11:$F$23</definedName>
    <definedName name="กว้าง">'refer cell'!$B$2</definedName>
    <definedName name="ความกว้าง">'refer cell'!$B$7</definedName>
    <definedName name="ความยาว">'refer cell'!$B$8</definedName>
    <definedName name="พื้นที่">'refer cell'!$B$4</definedName>
    <definedName name="ยาว">'refer cell'!$B$3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4" l="1"/>
  <c r="A13" i="14"/>
  <c r="D2" i="13"/>
  <c r="B9" i="5" a="1"/>
  <c r="B9" i="5" s="1"/>
  <c r="B17" i="4"/>
  <c r="C17" i="4"/>
  <c r="D17" i="4"/>
  <c r="B16" i="4"/>
  <c r="C16" i="4"/>
  <c r="D16" i="4"/>
  <c r="D15" i="4"/>
  <c r="C15" i="4"/>
  <c r="B15" i="4"/>
  <c r="D14" i="4"/>
  <c r="C14" i="4"/>
  <c r="B14" i="4"/>
  <c r="D13" i="4"/>
  <c r="C13" i="4"/>
  <c r="B13" i="4"/>
  <c r="D12" i="4"/>
  <c r="C12" i="4"/>
  <c r="B12" i="4"/>
  <c r="C4" i="4"/>
  <c r="D4" i="4"/>
  <c r="C5" i="4"/>
  <c r="D5" i="4"/>
  <c r="C6" i="4"/>
  <c r="D6" i="4"/>
  <c r="C7" i="4"/>
  <c r="D7" i="4"/>
  <c r="B5" i="4"/>
  <c r="B6" i="4"/>
  <c r="B7" i="4"/>
  <c r="B4" i="4"/>
  <c r="D3" i="12"/>
  <c r="D4" i="12"/>
  <c r="D2" i="12"/>
  <c r="C27" i="2"/>
  <c r="C20" i="2"/>
  <c r="B4" i="5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<sst xmlns="http://schemas.openxmlformats.org/spreadsheetml/2006/main" count="164" uniqueCount="111">
  <si>
    <t>ยอดขาย</t>
  </si>
  <si>
    <t>ต้นทุน</t>
  </si>
  <si>
    <t>กำไร</t>
  </si>
  <si>
    <t>วันที่</t>
  </si>
  <si>
    <t>แทนด้วยเลข Serial</t>
  </si>
  <si>
    <t>วันที่/เวลา</t>
  </si>
  <si>
    <t>เริ่ม</t>
  </si>
  <si>
    <t>Date</t>
  </si>
  <si>
    <t>General</t>
  </si>
  <si>
    <t>จบ</t>
  </si>
  <si>
    <t>A</t>
  </si>
  <si>
    <t>B</t>
  </si>
  <si>
    <t>C</t>
  </si>
  <si>
    <t>D</t>
  </si>
  <si>
    <t>E</t>
  </si>
  <si>
    <t>F</t>
  </si>
  <si>
    <t>ราคาสินค้า</t>
  </si>
  <si>
    <t>ความกว้าง</t>
  </si>
  <si>
    <t>ความยาว</t>
  </si>
  <si>
    <t>พื้นที่สี่เหลี่ยม</t>
  </si>
  <si>
    <t>เมตร</t>
  </si>
  <si>
    <t>ตารางเมตร</t>
  </si>
  <si>
    <t>อาหาร</t>
  </si>
  <si>
    <t>เสื้อผ้า</t>
  </si>
  <si>
    <t>ของเล่น</t>
  </si>
  <si>
    <t>รายการ</t>
  </si>
  <si>
    <t>ตัวอย่างการสร้าง Data Validation แบบ Dropdown</t>
  </si>
  <si>
    <t>ทดลองคลิกลูกศรในช่องสีเหลือง แล้วเลือก อาหาร / ของเล่น / เสื้อผ้า</t>
  </si>
  <si>
    <t>ลำดับ</t>
  </si>
  <si>
    <t>ประเภทสินค้า</t>
  </si>
  <si>
    <t>จำนวน</t>
  </si>
  <si>
    <t>หมายเหตุ</t>
  </si>
  <si>
    <t>ขั้นตอนการสร้างเอง</t>
  </si>
  <si>
    <t>1</t>
  </si>
  <si>
    <t>เลือกเซลล์ที่ต้องการ</t>
  </si>
  <si>
    <t>เช่น B6:B11</t>
  </si>
  <si>
    <t>2</t>
  </si>
  <si>
    <t>ไปที่เมนู Data</t>
  </si>
  <si>
    <t>เลือก Data Validation</t>
  </si>
  <si>
    <t>3</t>
  </si>
  <si>
    <t>ช่อง Allow</t>
  </si>
  <si>
    <t>เลือก List</t>
  </si>
  <si>
    <t>4</t>
  </si>
  <si>
    <t>ช่อง Source</t>
  </si>
  <si>
    <t>ใส่ =รายการ!$A$2:$A$4</t>
  </si>
  <si>
    <t>5</t>
  </si>
  <si>
    <t>กด OK</t>
  </si>
  <si>
    <t>เซลล์จะมีลูกศร Dropdown</t>
  </si>
  <si>
    <t>product</t>
  </si>
  <si>
    <t>jan</t>
  </si>
  <si>
    <t>1st</t>
  </si>
  <si>
    <t>สินค้า</t>
  </si>
  <si>
    <t>T00001</t>
  </si>
  <si>
    <t>T00002</t>
  </si>
  <si>
    <t>T00003</t>
  </si>
  <si>
    <t>T00004</t>
  </si>
  <si>
    <t>T00005</t>
  </si>
  <si>
    <t>T00006</t>
  </si>
  <si>
    <t>T00007</t>
  </si>
  <si>
    <t>นาย ก</t>
  </si>
  <si>
    <t>นาย ค</t>
  </si>
  <si>
    <t>นาย ข</t>
  </si>
  <si>
    <t>Food</t>
  </si>
  <si>
    <t>Toy</t>
  </si>
  <si>
    <t>Furniture</t>
  </si>
  <si>
    <t>ใบงานปฏิบัติ Excel: Sort &amp; Filter</t>
  </si>
  <si>
    <t>จุดประสงค์: ฝึกเรียงลำดับข้อมูล (Sort) และกรองข้อมูล (Filter) จากตารางรายการสินค้า</t>
  </si>
  <si>
    <t>คำสั่งปฏิบัติ</t>
  </si>
  <si>
    <t>2. ล้างตัวกรอง แล้ว Sort คอลัมน์ “รายการ” จากน้อยไปมาก</t>
  </si>
  <si>
    <t>ชื่อ</t>
  </si>
  <si>
    <t>ราคา/หน่วย</t>
  </si>
  <si>
    <t>วันที่ทำรายการ</t>
  </si>
  <si>
    <t>T00008</t>
  </si>
  <si>
    <t>นาย ง</t>
  </si>
  <si>
    <t>T00009</t>
  </si>
  <si>
    <t>T00010</t>
  </si>
  <si>
    <t>T00011</t>
  </si>
  <si>
    <t>T00012</t>
  </si>
  <si>
    <t>คำถามหลังปฏิบัติ</t>
  </si>
  <si>
    <t>1. สินค้าประเภทใดมีจำนวนรายการมากที่สุด?</t>
  </si>
  <si>
    <t>2. นาย ก มีรายการทั้งหมดกี่รายการ?</t>
  </si>
  <si>
    <t>3. นาย ค ซื้อสินค้าประเภทใดบ้าง?</t>
  </si>
  <si>
    <t>4. เมื่อกรอง ชื่อ = นาย ก และสินค้า = Toy พบกี่รายการ?</t>
  </si>
  <si>
    <t>เคล็ดลับ: เมื่อต้องการยกเลิกตัวกรอง ให้คลิกลูกศรที่หัวคอลัมน์ แล้วเลือก Clear Filter หรือไปที่ Data → Clear</t>
  </si>
  <si>
    <t xml:space="preserve">1. ใช้ปุ่ม Filter ที่หัวตาราง เพื่อกรองเฉพาะสินค้า Toy </t>
  </si>
  <si>
    <t xml:space="preserve">3. กรองเฉพาะข้อมูลของ “นาย ก” </t>
  </si>
  <si>
    <t xml:space="preserve">4. กรองเฉพาะสินค้า Furniture แล้วนับจำนวนรายการ  </t>
  </si>
  <si>
    <t xml:space="preserve">5. ใช้ Filter สองเงื่อนไขพร้อมกัน: ชื่อ = นาย ก และสินค้า = Toy </t>
  </si>
  <si>
    <t>ตัวเลขแทนวันที่/เวลา</t>
  </si>
  <si>
    <t>จำนวนวันที่ห่างกัน</t>
  </si>
  <si>
    <t>วัน</t>
  </si>
  <si>
    <t xml:space="preserve"> %กำไร</t>
  </si>
  <si>
    <t>Refer Cell</t>
  </si>
  <si>
    <t>Fix Cell Reference</t>
  </si>
  <si>
    <t>Paste Pattern</t>
  </si>
  <si>
    <t>Date and Time</t>
  </si>
  <si>
    <t>ราคา/ขึ้น</t>
  </si>
  <si>
    <t>จำนวนชิ้น</t>
  </si>
  <si>
    <t>SUM</t>
  </si>
  <si>
    <t>AVERAGE</t>
  </si>
  <si>
    <t>สกุล</t>
  </si>
  <si>
    <t>ชื่อ-สกุล</t>
  </si>
  <si>
    <t>ภูกมล</t>
  </si>
  <si>
    <t>แสนทิพย์</t>
  </si>
  <si>
    <t>Toy,Food,Furniture</t>
  </si>
  <si>
    <t>ยอดเงินกู้</t>
  </si>
  <si>
    <t>ดอกเบี้ย/ปี</t>
  </si>
  <si>
    <t>ดอกเบี้ย/งวด</t>
  </si>
  <si>
    <t>ปีที่ผ่อน</t>
  </si>
  <si>
    <t>จำนวนงวด</t>
  </si>
  <si>
    <t>ยอดผ่อน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</si>
</sst>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yy\ h:mm\ &quot;น.&quot;;@"/>
    <numFmt numFmtId="165" formatCode="0.000"/>
    <numFmt numFmtId="169" formatCode="[$฿-41E]#,##0.00;[Red]\-[$฿-41E]#,##0.00"/>
  </numFmts>
  <fonts count="15">
    <font>
      <sz val="11"/>
      <color theme="1"/>
      <name val="Aptos Narrow"/>
      <family val="2"/>
      <charset val="222"/>
      <scheme val="minor"/>
    </font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3"/>
      <color rgb="FFFFFFFF"/>
      <name val="Carlito"/>
    </font>
    <font>
      <sz val="8"/>
      <name val="Aptos Narrow"/>
      <family val="2"/>
      <charset val="222"/>
      <scheme val="minor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sz val="11"/>
      <color rgb="FF3B3B3B"/>
      <name val="Carlito"/>
    </font>
    <font>
      <i/>
      <sz val="11"/>
      <color rgb="FF375623"/>
      <name val="Carlito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B57B7"/>
      </patternFill>
    </fill>
    <fill>
      <patternFill patternType="solid">
        <fgColor rgb="FFDCEBFF"/>
      </patternFill>
    </fill>
    <fill>
      <patternFill patternType="solid">
        <fgColor rgb="FFEAF2F8"/>
      </patternFill>
    </fill>
    <fill>
      <patternFill patternType="solid">
        <fgColor rgb="FFFFF7CC"/>
      </patternFill>
    </fill>
    <fill>
      <patternFill patternType="solid">
        <fgColor rgb="FFF59E0B"/>
      </patternFill>
    </fill>
    <fill>
      <patternFill patternType="solid">
        <fgColor rgb="FFFFF9E6"/>
      </patternFill>
    </fill>
    <fill>
      <patternFill patternType="solid">
        <fgColor rgb="FF2F75B5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quotePrefix="1" applyNumberFormat="1"/>
    <xf numFmtId="16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0" fillId="8" borderId="0" xfId="0" applyFill="1"/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7" xfId="1" applyBorder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13" xfId="1" applyBorder="1"/>
    <xf numFmtId="0" fontId="1" fillId="0" borderId="15" xfId="1" applyBorder="1"/>
    <xf numFmtId="0" fontId="1" fillId="0" borderId="18" xfId="1" applyBorder="1"/>
    <xf numFmtId="0" fontId="1" fillId="0" borderId="11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2" xfId="1" applyBorder="1" applyAlignment="1">
      <alignment wrapText="1"/>
    </xf>
    <xf numFmtId="0" fontId="1" fillId="0" borderId="0" xfId="1" applyAlignment="1">
      <alignment wrapText="1"/>
    </xf>
    <xf numFmtId="0" fontId="1" fillId="0" borderId="17" xfId="1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1" fillId="0" borderId="2" xfId="1" applyBorder="1"/>
    <xf numFmtId="0" fontId="1" fillId="0" borderId="3" xfId="1" applyBorder="1"/>
    <xf numFmtId="0" fontId="1" fillId="5" borderId="0" xfId="1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14" fontId="0" fillId="10" borderId="0" xfId="0" applyNumberFormat="1" applyFill="1"/>
    <xf numFmtId="14" fontId="0" fillId="9" borderId="0" xfId="0" applyNumberFormat="1" applyFill="1"/>
    <xf numFmtId="0" fontId="2" fillId="2" borderId="0" xfId="1" applyFont="1" applyFill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4" fontId="1" fillId="0" borderId="0" xfId="1" applyNumberFormat="1" applyAlignment="1">
      <alignment horizontal="right" vertical="center"/>
    </xf>
    <xf numFmtId="14" fontId="1" fillId="0" borderId="0" xfId="1" applyNumberFormat="1" applyAlignment="1">
      <alignment vertical="center"/>
    </xf>
    <xf numFmtId="0" fontId="0" fillId="0" borderId="19" xfId="0" applyBorder="1"/>
    <xf numFmtId="3" fontId="0" fillId="0" borderId="19" xfId="0" applyNumberFormat="1" applyBorder="1"/>
    <xf numFmtId="0" fontId="0" fillId="8" borderId="19" xfId="0" applyFill="1" applyBorder="1"/>
    <xf numFmtId="0" fontId="0" fillId="0" borderId="0" xfId="0" applyAlignment="1">
      <alignment horizontal="center"/>
    </xf>
    <xf numFmtId="164" fontId="0" fillId="0" borderId="19" xfId="0" applyNumberFormat="1" applyBorder="1"/>
    <xf numFmtId="0" fontId="0" fillId="18" borderId="19" xfId="0" applyFill="1" applyBorder="1"/>
    <xf numFmtId="0" fontId="12" fillId="19" borderId="0" xfId="0" applyFont="1" applyFill="1"/>
    <xf numFmtId="0" fontId="0" fillId="20" borderId="0" xfId="0" applyFill="1"/>
    <xf numFmtId="0" fontId="0" fillId="21" borderId="0" xfId="0" applyFill="1"/>
    <xf numFmtId="165" fontId="0" fillId="0" borderId="0" xfId="0" applyNumberFormat="1"/>
    <xf numFmtId="0" fontId="0" fillId="22" borderId="0" xfId="0" applyFill="1"/>
    <xf numFmtId="0" fontId="0" fillId="25" borderId="19" xfId="0" applyFill="1" applyBorder="1"/>
    <xf numFmtId="0" fontId="0" fillId="9" borderId="19" xfId="0" applyFill="1" applyBorder="1"/>
    <xf numFmtId="0" fontId="0" fillId="25" borderId="19" xfId="0" applyFill="1" applyBorder="1" applyAlignment="1">
      <alignment horizontal="right"/>
    </xf>
    <xf numFmtId="9" fontId="0" fillId="23" borderId="19" xfId="0" applyNumberFormat="1" applyFill="1" applyBorder="1"/>
    <xf numFmtId="0" fontId="0" fillId="24" borderId="19" xfId="0" applyFill="1" applyBorder="1"/>
    <xf numFmtId="0" fontId="14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0" fillId="10" borderId="19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13" fillId="20" borderId="20" xfId="0" applyFont="1" applyFill="1" applyBorder="1" applyAlignment="1">
      <alignment horizontal="center" vertical="center"/>
    </xf>
    <xf numFmtId="0" fontId="13" fillId="20" borderId="21" xfId="0" applyFont="1" applyFill="1" applyBorder="1" applyAlignment="1">
      <alignment horizontal="center" vertical="center"/>
    </xf>
    <xf numFmtId="0" fontId="13" fillId="20" borderId="22" xfId="0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horizontal="center"/>
    </xf>
    <xf numFmtId="0" fontId="7" fillId="11" borderId="0" xfId="1" applyFont="1" applyFill="1" applyAlignment="1">
      <alignment horizontal="center" vertical="center"/>
    </xf>
    <xf numFmtId="0" fontId="8" fillId="12" borderId="0" xfId="1" applyFont="1" applyFill="1" applyAlignment="1">
      <alignment horizontal="left" vertical="center"/>
    </xf>
    <xf numFmtId="0" fontId="5" fillId="15" borderId="0" xfId="1" applyFont="1" applyFill="1" applyAlignment="1">
      <alignment horizontal="center"/>
    </xf>
    <xf numFmtId="0" fontId="10" fillId="16" borderId="0" xfId="1" applyFont="1" applyFill="1" applyAlignment="1">
      <alignment vertical="center" wrapText="1"/>
    </xf>
    <xf numFmtId="0" fontId="5" fillId="17" borderId="0" xfId="1" applyFont="1" applyFill="1" applyAlignment="1">
      <alignment horizontal="center"/>
    </xf>
    <xf numFmtId="0" fontId="9" fillId="13" borderId="0" xfId="1" applyFont="1" applyFill="1" applyAlignment="1">
      <alignment wrapText="1"/>
    </xf>
    <xf numFmtId="0" fontId="1" fillId="14" borderId="0" xfId="1" applyFill="1"/>
    <xf numFmtId="0" fontId="11" fillId="6" borderId="0" xfId="1" applyFont="1" applyFill="1" applyAlignment="1">
      <alignment wrapText="1"/>
    </xf>
    <xf numFmtId="4" fontId="0" fillId="0" borderId="19" xfId="0" applyNumberFormat="1" applyBorder="1"/>
    <xf numFmtId="0" fontId="0" fillId="24" borderId="21" xfId="0" applyFill="1" applyBorder="1"/>
    <xf numFmtId="0" fontId="0" fillId="0" borderId="19" xfId="0" applyFill="1" applyBorder="1"/>
    <xf numFmtId="0" fontId="0" fillId="0" borderId="21" xfId="0" applyBorder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169" fontId="0" fillId="0" borderId="0" xfId="0" applyNumberFormat="1"/>
  </cellXfs>
  <cellStyles count="2">
    <cellStyle name="Normal" xfId="0" builtinId="0"/>
    <cellStyle name="Normal 2" xfId="1" xr:uid="{6A22ACDE-4AE9-4617-8A0F-77F6C46DBEA3}"/>
  </cellStyles>
  <dxfs count="3">
    <dxf>
      <numFmt numFmtId="30" formatCode="@"/>
      <alignment horizontal="center" vertical="bottom" textRotation="0" wrapText="0" indent="0" justifyLastLine="0" shrinkToFit="0" readingOrder="0"/>
    </dxf>
    <dxf>
      <numFmt numFmtId="166" formatCode="d/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58FA8-12C3-4807-A422-9863B37AE624}" name="Table1" displayName="Table1" ref="A2:B9" totalsRowShown="0" headerRowDxfId="2">
  <tableColumns count="2">
    <tableColumn id="1" xr3:uid="{43FA0E27-C47C-4776-A822-BDF20B664114}" name="วันที่" dataDxfId="1"/>
    <tableColumn id="2" xr3:uid="{C0DBDF24-3EA1-4B33-ABD5-0BDC83566E0F}" name="แทนด้วยเลข Serial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F866-AF2C-48EB-929E-31D9BF7FB98B}">
  <dimension ref="A1:B10"/>
  <sheetViews>
    <sheetView workbookViewId="0">
      <selection activeCell="H8" sqref="H8"/>
    </sheetView>
  </sheetViews>
  <sheetFormatPr defaultRowHeight="16.5"/>
  <cols>
    <col min="1" max="1" width="16.75" customWidth="1"/>
  </cols>
  <sheetData>
    <row r="1" spans="1:2">
      <c r="A1" s="42" t="s">
        <v>0</v>
      </c>
      <c r="B1" s="41">
        <v>550</v>
      </c>
    </row>
    <row r="2" spans="1:2">
      <c r="A2" s="42" t="s">
        <v>1</v>
      </c>
      <c r="B2" s="41">
        <v>300</v>
      </c>
    </row>
    <row r="3" spans="1:2">
      <c r="A3" s="42" t="s">
        <v>2</v>
      </c>
      <c r="B3" s="41">
        <f>B1-B2</f>
        <v>250</v>
      </c>
    </row>
    <row r="5" spans="1:2">
      <c r="A5" s="3"/>
    </row>
    <row r="7" spans="1:2">
      <c r="A7" s="1"/>
    </row>
    <row r="8" spans="1:2">
      <c r="A8" s="1"/>
    </row>
    <row r="10" spans="1:2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DED6-A705-4FE4-A084-8AA16C0C38FE}">
  <dimension ref="A1:E27"/>
  <sheetViews>
    <sheetView zoomScale="145" zoomScaleNormal="145" workbookViewId="0">
      <selection activeCell="E15" sqref="E15"/>
    </sheetView>
  </sheetViews>
  <sheetFormatPr defaultRowHeight="16.5"/>
  <cols>
    <col min="1" max="1" width="17.625" customWidth="1"/>
    <col min="2" max="2" width="22.75" customWidth="1"/>
    <col min="3" max="3" width="22" customWidth="1"/>
    <col min="4" max="4" width="17.625" customWidth="1"/>
  </cols>
  <sheetData>
    <row r="1" spans="1:5" ht="58.9" customHeight="1">
      <c r="A1" s="56" t="s">
        <v>95</v>
      </c>
      <c r="B1" s="56"/>
      <c r="C1" s="56"/>
      <c r="D1" s="56"/>
      <c r="E1" s="56"/>
    </row>
    <row r="2" spans="1:5">
      <c r="A2" s="43" t="s">
        <v>3</v>
      </c>
      <c r="B2" s="43" t="s">
        <v>4</v>
      </c>
    </row>
    <row r="3" spans="1:5">
      <c r="A3" s="2">
        <v>1</v>
      </c>
      <c r="B3" s="5">
        <v>1</v>
      </c>
    </row>
    <row r="4" spans="1:5">
      <c r="A4" s="2">
        <v>2</v>
      </c>
      <c r="B4" s="5">
        <v>2</v>
      </c>
    </row>
    <row r="5" spans="1:5">
      <c r="A5" s="2">
        <v>30</v>
      </c>
      <c r="B5" s="5">
        <v>30</v>
      </c>
    </row>
    <row r="6" spans="1:5">
      <c r="A6" s="2">
        <v>31</v>
      </c>
      <c r="B6" s="5">
        <v>31</v>
      </c>
    </row>
    <row r="7" spans="1:5">
      <c r="A7" s="2">
        <v>32</v>
      </c>
      <c r="B7" s="5">
        <v>32</v>
      </c>
    </row>
    <row r="8" spans="1:5">
      <c r="A8" s="2">
        <v>33</v>
      </c>
      <c r="B8" s="5">
        <v>33</v>
      </c>
    </row>
    <row r="9" spans="1:5">
      <c r="A9" s="2">
        <v>42361</v>
      </c>
      <c r="B9" s="5">
        <v>42361</v>
      </c>
    </row>
    <row r="11" spans="1:5">
      <c r="A11" s="45" t="s">
        <v>5</v>
      </c>
      <c r="B11" s="44">
        <v>42361</v>
      </c>
      <c r="C11" s="44">
        <v>42361.25</v>
      </c>
      <c r="D11" s="44">
        <v>42361</v>
      </c>
    </row>
    <row r="12" spans="1:5">
      <c r="A12" s="45" t="s">
        <v>88</v>
      </c>
      <c r="B12" s="75">
        <v>42361</v>
      </c>
      <c r="C12" s="75">
        <v>42361.25</v>
      </c>
      <c r="D12" s="75">
        <v>42361</v>
      </c>
    </row>
    <row r="16" spans="1:5">
      <c r="B16" s="46" t="s">
        <v>7</v>
      </c>
      <c r="C16" s="46" t="s">
        <v>8</v>
      </c>
    </row>
    <row r="17" spans="1:4">
      <c r="A17" s="47" t="s">
        <v>6</v>
      </c>
      <c r="B17" s="4">
        <v>46225.489583333336</v>
      </c>
      <c r="C17" s="6"/>
    </row>
    <row r="18" spans="1:4">
      <c r="A18" s="47" t="s">
        <v>9</v>
      </c>
      <c r="B18" s="4">
        <v>46227</v>
      </c>
      <c r="C18" s="6"/>
    </row>
    <row r="20" spans="1:4">
      <c r="B20" s="48" t="s">
        <v>89</v>
      </c>
      <c r="C20" s="49">
        <f>C18-C17</f>
        <v>0</v>
      </c>
      <c r="D20" t="s">
        <v>90</v>
      </c>
    </row>
    <row r="23" spans="1:4">
      <c r="B23" s="46" t="s">
        <v>7</v>
      </c>
      <c r="C23" s="46" t="s">
        <v>8</v>
      </c>
    </row>
    <row r="24" spans="1:4">
      <c r="A24" s="47" t="s">
        <v>6</v>
      </c>
      <c r="B24" s="2">
        <v>46213</v>
      </c>
      <c r="C24" s="6">
        <v>46213</v>
      </c>
    </row>
    <row r="25" spans="1:4">
      <c r="A25" s="47" t="s">
        <v>9</v>
      </c>
      <c r="B25" s="2">
        <v>46225</v>
      </c>
      <c r="C25" s="6">
        <v>46225</v>
      </c>
    </row>
    <row r="27" spans="1:4">
      <c r="B27" s="48" t="s">
        <v>89</v>
      </c>
      <c r="C27" s="6">
        <f>C25-C24</f>
        <v>12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5888-5459-42FC-8E0E-3C29D051FE31}">
  <dimension ref="A1:G9"/>
  <sheetViews>
    <sheetView workbookViewId="0">
      <selection activeCell="F33" sqref="F33"/>
    </sheetView>
  </sheetViews>
  <sheetFormatPr defaultRowHeight="16.5"/>
  <cols>
    <col min="7" max="7" width="16" customWidth="1"/>
  </cols>
  <sheetData>
    <row r="1" spans="1:7" ht="37.15" customHeight="1">
      <c r="A1" s="57" t="s">
        <v>94</v>
      </c>
      <c r="B1" s="57"/>
      <c r="C1" s="57"/>
      <c r="D1" s="57"/>
      <c r="E1" s="57"/>
      <c r="F1" s="57"/>
      <c r="G1" s="57"/>
    </row>
    <row r="2" spans="1:7">
      <c r="A2" t="s">
        <v>10</v>
      </c>
      <c r="B2" s="48" t="s">
        <v>13</v>
      </c>
    </row>
    <row r="3" spans="1:7">
      <c r="A3" s="50" t="s">
        <v>11</v>
      </c>
      <c r="B3" t="s">
        <v>14</v>
      </c>
    </row>
    <row r="4" spans="1:7">
      <c r="A4" t="s">
        <v>12</v>
      </c>
      <c r="B4" s="7" t="s">
        <v>15</v>
      </c>
    </row>
    <row r="7" spans="1:7">
      <c r="A7" t="s">
        <v>10</v>
      </c>
      <c r="B7" s="48" t="s">
        <v>13</v>
      </c>
    </row>
    <row r="8" spans="1:7">
      <c r="A8" s="50" t="s">
        <v>11</v>
      </c>
      <c r="B8" t="s">
        <v>14</v>
      </c>
    </row>
    <row r="9" spans="1:7">
      <c r="A9" t="s">
        <v>12</v>
      </c>
      <c r="B9" s="7" t="s">
        <v>15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E984-B9E4-4D6D-849F-2522C31C48BE}">
  <dimension ref="A1:D4"/>
  <sheetViews>
    <sheetView workbookViewId="0">
      <selection activeCell="D2" sqref="D2:D4"/>
    </sheetView>
  </sheetViews>
  <sheetFormatPr defaultRowHeight="16.5"/>
  <sheetData>
    <row r="1" spans="1:4">
      <c r="A1" t="s">
        <v>51</v>
      </c>
      <c r="B1" t="s">
        <v>96</v>
      </c>
      <c r="C1" t="s">
        <v>97</v>
      </c>
      <c r="D1" t="s">
        <v>0</v>
      </c>
    </row>
    <row r="2" spans="1:4">
      <c r="A2" t="s">
        <v>22</v>
      </c>
      <c r="B2">
        <v>35</v>
      </c>
      <c r="C2">
        <v>100</v>
      </c>
      <c r="D2">
        <f>B2*C2</f>
        <v>3500</v>
      </c>
    </row>
    <row r="3" spans="1:4">
      <c r="A3" t="s">
        <v>24</v>
      </c>
      <c r="B3">
        <v>150</v>
      </c>
      <c r="C3">
        <v>10</v>
      </c>
      <c r="D3">
        <f t="shared" ref="D3:D4" si="0">B3*C3</f>
        <v>1500</v>
      </c>
    </row>
    <row r="4" spans="1:4">
      <c r="A4" t="s">
        <v>23</v>
      </c>
      <c r="B4">
        <v>500</v>
      </c>
      <c r="C4">
        <v>5</v>
      </c>
      <c r="D4">
        <f t="shared" si="0"/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3712-EAFD-41E2-8936-AA5BBA16DA52}">
  <dimension ref="A1:D17"/>
  <sheetViews>
    <sheetView workbookViewId="0">
      <selection activeCell="A17" sqref="A17"/>
    </sheetView>
  </sheetViews>
  <sheetFormatPr defaultRowHeight="16.5"/>
  <cols>
    <col min="1" max="1" width="16.125" customWidth="1"/>
    <col min="4" max="4" width="15.375" customWidth="1"/>
  </cols>
  <sheetData>
    <row r="1" spans="1:4" ht="37.5" customHeight="1">
      <c r="A1" s="57" t="s">
        <v>93</v>
      </c>
      <c r="B1" s="60"/>
      <c r="C1" s="60"/>
      <c r="D1" s="60"/>
    </row>
    <row r="2" spans="1:4">
      <c r="A2" s="59" t="s">
        <v>16</v>
      </c>
      <c r="B2" s="58" t="s">
        <v>91</v>
      </c>
      <c r="C2" s="58"/>
      <c r="D2" s="58"/>
    </row>
    <row r="3" spans="1:4" ht="19.5" customHeight="1">
      <c r="A3" s="59"/>
      <c r="B3" s="54">
        <v>0.05</v>
      </c>
      <c r="C3" s="54">
        <v>0.1</v>
      </c>
      <c r="D3" s="54">
        <v>0.15</v>
      </c>
    </row>
    <row r="4" spans="1:4">
      <c r="A4" s="55">
        <v>1000</v>
      </c>
      <c r="B4" s="40">
        <f>$A4*B$3</f>
        <v>50</v>
      </c>
      <c r="C4" s="40">
        <f t="shared" ref="C4:D4" si="0">$A4*C$3</f>
        <v>100</v>
      </c>
      <c r="D4" s="40">
        <f t="shared" si="0"/>
        <v>150</v>
      </c>
    </row>
    <row r="5" spans="1:4">
      <c r="A5" s="55">
        <v>2000</v>
      </c>
      <c r="B5" s="40">
        <f t="shared" ref="B5:D7" si="1">$A5*B$3</f>
        <v>100</v>
      </c>
      <c r="C5" s="40">
        <f t="shared" si="1"/>
        <v>200</v>
      </c>
      <c r="D5" s="40">
        <f t="shared" si="1"/>
        <v>300</v>
      </c>
    </row>
    <row r="6" spans="1:4">
      <c r="A6" s="55">
        <v>3000</v>
      </c>
      <c r="B6" s="40">
        <f t="shared" si="1"/>
        <v>150</v>
      </c>
      <c r="C6" s="40">
        <f t="shared" si="1"/>
        <v>300</v>
      </c>
      <c r="D6" s="40">
        <f t="shared" si="1"/>
        <v>450</v>
      </c>
    </row>
    <row r="7" spans="1:4">
      <c r="A7" s="55">
        <v>4000</v>
      </c>
      <c r="B7" s="40">
        <f t="shared" si="1"/>
        <v>200</v>
      </c>
      <c r="C7" s="40">
        <f t="shared" si="1"/>
        <v>400</v>
      </c>
      <c r="D7" s="40">
        <f t="shared" si="1"/>
        <v>600</v>
      </c>
    </row>
    <row r="10" spans="1:4">
      <c r="A10" s="59" t="s">
        <v>16</v>
      </c>
      <c r="B10" s="58" t="s">
        <v>91</v>
      </c>
      <c r="C10" s="58"/>
      <c r="D10" s="58"/>
    </row>
    <row r="11" spans="1:4">
      <c r="A11" s="59"/>
      <c r="B11" s="54">
        <v>0.05</v>
      </c>
      <c r="C11" s="54">
        <v>0.1</v>
      </c>
      <c r="D11" s="54">
        <v>0.15</v>
      </c>
    </row>
    <row r="12" spans="1:4">
      <c r="A12" s="55">
        <v>1000</v>
      </c>
      <c r="B12" s="40">
        <f>$A12*B$3</f>
        <v>50</v>
      </c>
      <c r="C12" s="40">
        <f t="shared" ref="C12:D12" si="2">$A12*C$3</f>
        <v>100</v>
      </c>
      <c r="D12" s="40">
        <f t="shared" si="2"/>
        <v>150</v>
      </c>
    </row>
    <row r="13" spans="1:4">
      <c r="A13" s="55">
        <v>2000</v>
      </c>
      <c r="B13" s="40">
        <f t="shared" ref="B13:D15" si="3">$A13*B$3</f>
        <v>100</v>
      </c>
      <c r="C13" s="40">
        <f t="shared" si="3"/>
        <v>200</v>
      </c>
      <c r="D13" s="40">
        <f t="shared" si="3"/>
        <v>300</v>
      </c>
    </row>
    <row r="14" spans="1:4">
      <c r="A14" s="55">
        <v>3000</v>
      </c>
      <c r="B14" s="40">
        <f t="shared" si="3"/>
        <v>150</v>
      </c>
      <c r="C14" s="40">
        <f t="shared" si="3"/>
        <v>300</v>
      </c>
      <c r="D14" s="40">
        <f t="shared" si="3"/>
        <v>450</v>
      </c>
    </row>
    <row r="15" spans="1:4">
      <c r="A15" s="55">
        <v>4000</v>
      </c>
      <c r="B15" s="40">
        <f t="shared" si="3"/>
        <v>200</v>
      </c>
      <c r="C15" s="40">
        <f t="shared" si="3"/>
        <v>400</v>
      </c>
      <c r="D15" s="40">
        <f t="shared" si="3"/>
        <v>600</v>
      </c>
    </row>
    <row r="16" spans="1:4">
      <c r="A16" s="76" t="s">
        <v>98</v>
      </c>
      <c r="B16" s="77">
        <f>SUM(B12:B15)</f>
        <v>500</v>
      </c>
      <c r="C16" s="77">
        <f t="shared" ref="C16:D16" si="4">SUM(C12:C15)</f>
        <v>1000</v>
      </c>
      <c r="D16" s="77">
        <f t="shared" si="4"/>
        <v>1500</v>
      </c>
    </row>
    <row r="17" spans="1:4">
      <c r="A17" s="78" t="s">
        <v>99</v>
      </c>
      <c r="B17" s="77">
        <f>AVERAGE(B12:B15)</f>
        <v>125</v>
      </c>
      <c r="C17" s="77">
        <f t="shared" ref="C17:D17" si="5">AVERAGE(C12:C15)</f>
        <v>250</v>
      </c>
      <c r="D17" s="77">
        <f t="shared" si="5"/>
        <v>375</v>
      </c>
    </row>
  </sheetData>
  <mergeCells count="5">
    <mergeCell ref="B2:D2"/>
    <mergeCell ref="A2:A3"/>
    <mergeCell ref="A1:D1"/>
    <mergeCell ref="A10:A11"/>
    <mergeCell ref="B10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0CEC-344E-406E-8F2C-5AD76562A7F1}">
  <dimension ref="A1:C9"/>
  <sheetViews>
    <sheetView workbookViewId="0">
      <selection activeCell="B9" sqref="B9"/>
    </sheetView>
  </sheetViews>
  <sheetFormatPr defaultRowHeight="16.5"/>
  <cols>
    <col min="1" max="1" width="16.75" customWidth="1"/>
    <col min="2" max="2" width="11.625" customWidth="1"/>
    <col min="3" max="3" width="30.5" customWidth="1"/>
  </cols>
  <sheetData>
    <row r="1" spans="1:3" ht="44.25" customHeight="1">
      <c r="A1" s="61" t="s">
        <v>92</v>
      </c>
      <c r="B1" s="62"/>
      <c r="C1" s="63"/>
    </row>
    <row r="2" spans="1:3">
      <c r="A2" s="51" t="s">
        <v>17</v>
      </c>
      <c r="B2" s="42">
        <v>20</v>
      </c>
      <c r="C2" s="53" t="s">
        <v>20</v>
      </c>
    </row>
    <row r="3" spans="1:3">
      <c r="A3" s="51" t="s">
        <v>18</v>
      </c>
      <c r="B3" s="42">
        <v>40</v>
      </c>
      <c r="C3" s="53" t="s">
        <v>20</v>
      </c>
    </row>
    <row r="4" spans="1:3">
      <c r="A4" s="51" t="s">
        <v>19</v>
      </c>
      <c r="B4" s="52">
        <f>กว้าง*ยาว</f>
        <v>800</v>
      </c>
      <c r="C4" s="53" t="s">
        <v>21</v>
      </c>
    </row>
    <row r="7" spans="1:3">
      <c r="A7" s="51" t="s">
        <v>17</v>
      </c>
      <c r="B7">
        <v>20</v>
      </c>
    </row>
    <row r="8" spans="1:3">
      <c r="A8" s="51" t="s">
        <v>18</v>
      </c>
      <c r="B8">
        <v>20</v>
      </c>
    </row>
    <row r="9" spans="1:3">
      <c r="A9" s="51" t="s">
        <v>19</v>
      </c>
      <c r="B9" cm="1">
        <f t="array" ref="B9">ความกว้าง*ความยาว</f>
        <v>400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E115-14D4-45E7-B87D-DACA1A0B5C3F}">
  <dimension ref="A1:D18"/>
  <sheetViews>
    <sheetView workbookViewId="0">
      <selection activeCell="C11" sqref="C11"/>
    </sheetView>
  </sheetViews>
  <sheetFormatPr defaultRowHeight="16.5"/>
  <cols>
    <col min="1" max="1" width="20.125" customWidth="1"/>
    <col min="2" max="2" width="12" bestFit="1" customWidth="1"/>
    <col min="3" max="3" width="13" customWidth="1"/>
    <col min="4" max="4" width="31.75" customWidth="1"/>
  </cols>
  <sheetData>
    <row r="1" spans="1:4" ht="20.25">
      <c r="A1" s="64" t="s">
        <v>26</v>
      </c>
      <c r="B1" s="64"/>
      <c r="C1" s="64"/>
      <c r="D1" s="64"/>
    </row>
    <row r="2" spans="1:4">
      <c r="A2" s="11"/>
      <c r="B2" s="11"/>
      <c r="C2" s="11"/>
      <c r="D2" s="11"/>
    </row>
    <row r="3" spans="1:4">
      <c r="A3" s="65" t="s">
        <v>27</v>
      </c>
      <c r="B3" s="65"/>
      <c r="C3" s="65"/>
      <c r="D3" s="65"/>
    </row>
    <row r="4" spans="1:4">
      <c r="A4" s="11"/>
      <c r="B4" s="11"/>
      <c r="C4" s="11"/>
      <c r="D4" s="11"/>
    </row>
    <row r="5" spans="1:4">
      <c r="A5" s="8" t="s">
        <v>28</v>
      </c>
      <c r="B5" s="9" t="s">
        <v>29</v>
      </c>
      <c r="C5" s="9" t="s">
        <v>30</v>
      </c>
      <c r="D5" s="10" t="s">
        <v>31</v>
      </c>
    </row>
    <row r="6" spans="1:4">
      <c r="A6" s="12">
        <v>1</v>
      </c>
      <c r="B6" s="13" t="s">
        <v>22</v>
      </c>
      <c r="C6" s="14">
        <v>10</v>
      </c>
      <c r="D6" s="15"/>
    </row>
    <row r="7" spans="1:4">
      <c r="A7" s="12">
        <v>2</v>
      </c>
      <c r="B7" s="30" t="s">
        <v>24</v>
      </c>
      <c r="C7" s="14">
        <v>20</v>
      </c>
      <c r="D7" s="15"/>
    </row>
    <row r="8" spans="1:4">
      <c r="A8" s="12">
        <v>3</v>
      </c>
      <c r="B8" s="30" t="s">
        <v>23</v>
      </c>
      <c r="C8" s="14">
        <v>30</v>
      </c>
      <c r="D8" s="15"/>
    </row>
    <row r="9" spans="1:4">
      <c r="A9" s="12">
        <v>4</v>
      </c>
      <c r="B9" s="30" t="s">
        <v>24</v>
      </c>
      <c r="C9" s="14">
        <v>40</v>
      </c>
      <c r="D9" s="15"/>
    </row>
    <row r="10" spans="1:4">
      <c r="A10" s="12">
        <v>5</v>
      </c>
      <c r="B10" s="30" t="s">
        <v>22</v>
      </c>
      <c r="C10" s="14">
        <v>30</v>
      </c>
      <c r="D10" s="15"/>
    </row>
    <row r="11" spans="1:4">
      <c r="A11" s="16">
        <v>6</v>
      </c>
      <c r="B11" s="30" t="s">
        <v>23</v>
      </c>
      <c r="C11" s="14">
        <v>20</v>
      </c>
      <c r="D11" s="17"/>
    </row>
    <row r="13" spans="1:4" ht="17.25">
      <c r="A13" s="66" t="s">
        <v>32</v>
      </c>
      <c r="B13" s="66"/>
      <c r="C13" s="66"/>
      <c r="D13" s="66"/>
    </row>
    <row r="14" spans="1:4" ht="30">
      <c r="A14" s="21" t="s">
        <v>33</v>
      </c>
      <c r="B14" s="24" t="s">
        <v>34</v>
      </c>
      <c r="C14" s="24" t="s">
        <v>35</v>
      </c>
      <c r="D14" s="18"/>
    </row>
    <row r="15" spans="1:4" ht="30">
      <c r="A15" s="22" t="s">
        <v>36</v>
      </c>
      <c r="B15" s="25" t="s">
        <v>37</v>
      </c>
      <c r="C15" s="25" t="s">
        <v>38</v>
      </c>
      <c r="D15" s="19"/>
    </row>
    <row r="16" spans="1:4">
      <c r="A16" s="22" t="s">
        <v>39</v>
      </c>
      <c r="B16" s="25" t="s">
        <v>40</v>
      </c>
      <c r="C16" s="25" t="s">
        <v>41</v>
      </c>
      <c r="D16" s="19"/>
    </row>
    <row r="17" spans="1:4" ht="30">
      <c r="A17" s="22" t="s">
        <v>42</v>
      </c>
      <c r="B17" s="25" t="s">
        <v>43</v>
      </c>
      <c r="C17" s="25" t="s">
        <v>44</v>
      </c>
      <c r="D17" s="19"/>
    </row>
    <row r="18" spans="1:4" ht="30">
      <c r="A18" s="23" t="s">
        <v>45</v>
      </c>
      <c r="B18" s="26" t="s">
        <v>46</v>
      </c>
      <c r="C18" s="26" t="s">
        <v>47</v>
      </c>
      <c r="D18" s="20"/>
    </row>
  </sheetData>
  <mergeCells count="3">
    <mergeCell ref="A1:D1"/>
    <mergeCell ref="A3:D3"/>
    <mergeCell ref="A13:D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2653BA-EE89-4AC8-9F8F-D6A0A48CEBA6}">
          <x14:formula1>
            <xm:f>รายการ!$A$2:$A$4</xm:f>
          </x14:formula1>
          <xm:sqref>B6:B11</xm:sqref>
        </x14:dataValidation>
        <x14:dataValidation type="list" allowBlank="1" showInputMessage="1" showErrorMessage="1" xr:uid="{03C44AFA-9576-4641-8AB8-C5A5DD623635}">
          <x14:formula1>
            <xm:f>รายการ!$A$6:$A$9</xm:f>
          </x14:formula1>
          <xm:sqref>C6:C11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B2CF-54EE-4A41-8986-1200DAFAEDAA}">
  <dimension ref="A1:A17"/>
  <sheetViews>
    <sheetView workbookViewId="0">
      <selection activeCell="C16" sqref="C16"/>
    </sheetView>
  </sheetViews>
  <sheetFormatPr defaultRowHeight="16.5"/>
  <cols>
    <col min="1" max="1" width="17.5" customWidth="1"/>
  </cols>
  <sheetData>
    <row r="1" spans="1:1">
      <c r="A1" s="27" t="s">
        <v>29</v>
      </c>
    </row>
    <row r="2" spans="1:1">
      <c r="A2" s="28" t="s">
        <v>22</v>
      </c>
    </row>
    <row r="3" spans="1:1">
      <c r="A3" s="28" t="s">
        <v>24</v>
      </c>
    </row>
    <row r="4" spans="1:1">
      <c r="A4" s="29" t="s">
        <v>23</v>
      </c>
    </row>
    <row r="6" spans="1:1">
      <c r="A6">
        <v>10</v>
      </c>
    </row>
    <row r="7" spans="1:1">
      <c r="A7">
        <v>20</v>
      </c>
    </row>
    <row r="8" spans="1:1">
      <c r="A8">
        <v>30</v>
      </c>
    </row>
    <row r="9" spans="1:1">
      <c r="A9">
        <v>40</v>
      </c>
    </row>
    <row r="11" spans="1:1">
      <c r="A11">
        <v>4</v>
      </c>
    </row>
    <row r="12" spans="1:1">
      <c r="A12">
        <v>5</v>
      </c>
    </row>
    <row r="13" spans="1:1">
      <c r="A13">
        <v>6</v>
      </c>
    </row>
    <row r="14" spans="1:1">
      <c r="A14">
        <v>7</v>
      </c>
    </row>
    <row r="15" spans="1:1">
      <c r="A15">
        <v>8</v>
      </c>
    </row>
    <row r="16" spans="1:1">
      <c r="A16">
        <v>9</v>
      </c>
    </row>
    <row r="17" spans="1:1">
      <c r="A17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5C40-BC32-482D-90ED-163C7593682C}">
  <dimension ref="A1:K15"/>
  <sheetViews>
    <sheetView workbookViewId="0">
      <selection activeCell="F17" sqref="F17"/>
    </sheetView>
  </sheetViews>
  <sheetFormatPr defaultRowHeight="16.5"/>
  <cols>
    <col min="9" max="9" width="10.25" customWidth="1"/>
  </cols>
  <sheetData>
    <row r="1" spans="1:11">
      <c r="A1" s="31">
        <v>4</v>
      </c>
      <c r="C1" s="31">
        <v>4</v>
      </c>
      <c r="G1" s="31" t="s">
        <v>48</v>
      </c>
      <c r="H1" s="31" t="s">
        <v>49</v>
      </c>
      <c r="I1" s="34">
        <v>46218</v>
      </c>
      <c r="J1" s="31">
        <v>4</v>
      </c>
      <c r="K1" s="31" t="s">
        <v>50</v>
      </c>
    </row>
    <row r="2" spans="1:11">
      <c r="A2" s="31">
        <v>4</v>
      </c>
      <c r="C2" s="31">
        <v>7</v>
      </c>
    </row>
    <row r="3" spans="1:11">
      <c r="A3" s="31">
        <v>4</v>
      </c>
      <c r="C3" s="31">
        <v>4</v>
      </c>
    </row>
    <row r="4" spans="1:11">
      <c r="A4" s="31">
        <v>4</v>
      </c>
      <c r="C4" s="31">
        <v>7</v>
      </c>
    </row>
    <row r="5" spans="1:11">
      <c r="A5" s="31">
        <v>4</v>
      </c>
      <c r="C5" s="31">
        <v>4</v>
      </c>
    </row>
    <row r="6" spans="1:11">
      <c r="A6" s="31">
        <v>4</v>
      </c>
      <c r="C6" s="31">
        <v>7</v>
      </c>
    </row>
    <row r="11" spans="1:11">
      <c r="A11" s="32">
        <v>4</v>
      </c>
      <c r="C11" s="32">
        <v>4</v>
      </c>
      <c r="G11" s="32" t="s">
        <v>48</v>
      </c>
      <c r="H11" s="32" t="s">
        <v>49</v>
      </c>
      <c r="I11" s="33">
        <v>46218</v>
      </c>
      <c r="J11" s="32">
        <v>4</v>
      </c>
      <c r="K11" s="32" t="s">
        <v>50</v>
      </c>
    </row>
    <row r="12" spans="1:11">
      <c r="A12" s="32">
        <v>5</v>
      </c>
      <c r="C12" s="32">
        <v>7</v>
      </c>
    </row>
    <row r="13" spans="1:11">
      <c r="A13" s="32">
        <v>6</v>
      </c>
      <c r="C13" s="32">
        <v>10</v>
      </c>
    </row>
    <row r="14" spans="1:11">
      <c r="A14" s="32">
        <v>7</v>
      </c>
      <c r="C14" s="32">
        <v>13</v>
      </c>
    </row>
    <row r="15" spans="1:11">
      <c r="A15" s="32">
        <v>8</v>
      </c>
      <c r="C15" s="32">
        <v>16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DC68-3E11-4AC1-9E43-CCB04BB53F59}">
  <sheetPr filterMode="1"/>
  <dimension ref="A1:F31"/>
  <sheetViews>
    <sheetView topLeftCell="A3" workbookViewId="0">
      <selection activeCell="H30" sqref="H30"/>
    </sheetView>
  </sheetViews>
  <sheetFormatPr defaultRowHeight="16.5"/>
  <cols>
    <col min="1" max="1" width="19.375" customWidth="1"/>
    <col min="2" max="2" width="14.875" customWidth="1"/>
    <col min="6" max="6" width="24" customWidth="1"/>
  </cols>
  <sheetData>
    <row r="1" spans="1:6" ht="23.25">
      <c r="A1" s="67" t="s">
        <v>65</v>
      </c>
      <c r="B1" s="67"/>
      <c r="C1" s="67"/>
      <c r="D1" s="67"/>
      <c r="E1" s="67"/>
      <c r="F1" s="67"/>
    </row>
    <row r="2" spans="1:6">
      <c r="A2" s="68" t="s">
        <v>66</v>
      </c>
      <c r="B2" s="68"/>
      <c r="C2" s="68"/>
      <c r="D2" s="68"/>
      <c r="E2" s="68"/>
      <c r="F2" s="68"/>
    </row>
    <row r="4" spans="1:6" ht="17.25">
      <c r="A4" s="69" t="s">
        <v>67</v>
      </c>
      <c r="B4" s="69"/>
      <c r="C4" s="69"/>
      <c r="D4" s="69"/>
      <c r="E4" s="69"/>
      <c r="F4" s="69"/>
    </row>
    <row r="5" spans="1:6">
      <c r="A5" s="70" t="s">
        <v>84</v>
      </c>
      <c r="B5" s="70"/>
      <c r="C5" s="70"/>
      <c r="D5" s="70"/>
      <c r="E5" s="70"/>
      <c r="F5" s="70"/>
    </row>
    <row r="6" spans="1:6">
      <c r="A6" s="70" t="s">
        <v>68</v>
      </c>
      <c r="B6" s="70"/>
      <c r="C6" s="70"/>
      <c r="D6" s="70"/>
      <c r="E6" s="70"/>
      <c r="F6" s="70"/>
    </row>
    <row r="7" spans="1:6">
      <c r="A7" s="70" t="s">
        <v>85</v>
      </c>
      <c r="B7" s="70"/>
      <c r="C7" s="70"/>
      <c r="D7" s="70"/>
      <c r="E7" s="70"/>
      <c r="F7" s="70"/>
    </row>
    <row r="8" spans="1:6">
      <c r="A8" s="70" t="s">
        <v>86</v>
      </c>
      <c r="B8" s="70"/>
      <c r="C8" s="70"/>
      <c r="D8" s="70"/>
      <c r="E8" s="70"/>
      <c r="F8" s="70"/>
    </row>
    <row r="9" spans="1:6">
      <c r="A9" s="70" t="s">
        <v>87</v>
      </c>
      <c r="B9" s="70"/>
      <c r="C9" s="70"/>
      <c r="D9" s="70"/>
      <c r="E9" s="70"/>
      <c r="F9" s="70"/>
    </row>
    <row r="11" spans="1:6">
      <c r="A11" s="35" t="s">
        <v>25</v>
      </c>
      <c r="B11" s="35" t="s">
        <v>69</v>
      </c>
      <c r="C11" s="35" t="s">
        <v>51</v>
      </c>
      <c r="D11" s="35" t="s">
        <v>30</v>
      </c>
      <c r="E11" s="35" t="s">
        <v>70</v>
      </c>
      <c r="F11" s="35" t="s">
        <v>71</v>
      </c>
    </row>
    <row r="12" spans="1:6" hidden="1">
      <c r="A12" s="36" t="s">
        <v>55</v>
      </c>
      <c r="B12" s="36" t="s">
        <v>59</v>
      </c>
      <c r="C12" s="36" t="s">
        <v>64</v>
      </c>
      <c r="D12" s="37">
        <v>1</v>
      </c>
      <c r="E12" s="38">
        <v>2500</v>
      </c>
      <c r="F12" s="39">
        <v>46206</v>
      </c>
    </row>
    <row r="13" spans="1:6" hidden="1">
      <c r="A13" s="36" t="s">
        <v>76</v>
      </c>
      <c r="B13" s="36" t="s">
        <v>60</v>
      </c>
      <c r="C13" s="36" t="s">
        <v>64</v>
      </c>
      <c r="D13" s="37">
        <v>1</v>
      </c>
      <c r="E13" s="38">
        <v>1750</v>
      </c>
      <c r="F13" s="39">
        <v>46210</v>
      </c>
    </row>
    <row r="14" spans="1:6" hidden="1">
      <c r="A14" s="36" t="s">
        <v>74</v>
      </c>
      <c r="B14" s="36" t="s">
        <v>59</v>
      </c>
      <c r="C14" s="36" t="s">
        <v>62</v>
      </c>
      <c r="D14" s="37">
        <v>1</v>
      </c>
      <c r="E14" s="38">
        <v>460</v>
      </c>
      <c r="F14" s="39">
        <v>46209</v>
      </c>
    </row>
    <row r="15" spans="1:6" hidden="1">
      <c r="A15" s="36" t="s">
        <v>53</v>
      </c>
      <c r="B15" s="36" t="s">
        <v>60</v>
      </c>
      <c r="C15" s="36" t="s">
        <v>63</v>
      </c>
      <c r="D15" s="37">
        <v>1</v>
      </c>
      <c r="E15" s="38">
        <v>350</v>
      </c>
      <c r="F15" s="39">
        <v>46205</v>
      </c>
    </row>
    <row r="16" spans="1:6" hidden="1">
      <c r="A16" s="36" t="s">
        <v>56</v>
      </c>
      <c r="B16" s="36" t="s">
        <v>61</v>
      </c>
      <c r="C16" s="36" t="s">
        <v>64</v>
      </c>
      <c r="D16" s="37">
        <v>2</v>
      </c>
      <c r="E16" s="38">
        <v>890</v>
      </c>
      <c r="F16" s="39">
        <v>46207</v>
      </c>
    </row>
    <row r="17" spans="1:6" hidden="1">
      <c r="A17" s="36" t="s">
        <v>75</v>
      </c>
      <c r="B17" s="36" t="s">
        <v>61</v>
      </c>
      <c r="C17" s="36" t="s">
        <v>63</v>
      </c>
      <c r="D17" s="37">
        <v>2</v>
      </c>
      <c r="E17" s="38">
        <v>310</v>
      </c>
      <c r="F17" s="39">
        <v>46209</v>
      </c>
    </row>
    <row r="18" spans="1:6">
      <c r="A18" s="36" t="s">
        <v>58</v>
      </c>
      <c r="B18" s="36" t="s">
        <v>59</v>
      </c>
      <c r="C18" s="36" t="s">
        <v>63</v>
      </c>
      <c r="D18" s="37">
        <v>2</v>
      </c>
      <c r="E18" s="38">
        <v>220</v>
      </c>
      <c r="F18" s="39">
        <v>46208</v>
      </c>
    </row>
    <row r="19" spans="1:6" hidden="1">
      <c r="A19" s="36" t="s">
        <v>52</v>
      </c>
      <c r="B19" s="36" t="s">
        <v>59</v>
      </c>
      <c r="C19" s="36" t="s">
        <v>62</v>
      </c>
      <c r="D19" s="37">
        <v>2</v>
      </c>
      <c r="E19" s="38">
        <v>120</v>
      </c>
      <c r="F19" s="39">
        <v>46204</v>
      </c>
    </row>
    <row r="20" spans="1:6" hidden="1">
      <c r="A20" s="36" t="s">
        <v>54</v>
      </c>
      <c r="B20" s="36" t="s">
        <v>61</v>
      </c>
      <c r="C20" s="36" t="s">
        <v>63</v>
      </c>
      <c r="D20" s="37">
        <v>3</v>
      </c>
      <c r="E20" s="38">
        <v>180</v>
      </c>
      <c r="F20" s="39">
        <v>46205</v>
      </c>
    </row>
    <row r="21" spans="1:6" hidden="1">
      <c r="A21" s="36" t="s">
        <v>72</v>
      </c>
      <c r="B21" s="36" t="s">
        <v>73</v>
      </c>
      <c r="C21" s="36" t="s">
        <v>62</v>
      </c>
      <c r="D21" s="37">
        <v>4</v>
      </c>
      <c r="E21" s="38">
        <v>95</v>
      </c>
      <c r="F21" s="39">
        <v>46208</v>
      </c>
    </row>
    <row r="22" spans="1:6" hidden="1">
      <c r="A22" s="36" t="s">
        <v>57</v>
      </c>
      <c r="B22" s="36" t="s">
        <v>60</v>
      </c>
      <c r="C22" s="36" t="s">
        <v>62</v>
      </c>
      <c r="D22" s="37">
        <v>5</v>
      </c>
      <c r="E22" s="38">
        <v>75</v>
      </c>
      <c r="F22" s="39">
        <v>46207</v>
      </c>
    </row>
    <row r="23" spans="1:6" hidden="1">
      <c r="A23" s="36" t="s">
        <v>77</v>
      </c>
      <c r="B23" s="36" t="s">
        <v>73</v>
      </c>
      <c r="C23" s="36" t="s">
        <v>63</v>
      </c>
      <c r="D23" s="37">
        <v>6</v>
      </c>
      <c r="E23" s="38">
        <v>90</v>
      </c>
      <c r="F23" s="39">
        <v>46211</v>
      </c>
    </row>
    <row r="25" spans="1:6" ht="17.25">
      <c r="A25" s="71" t="s">
        <v>78</v>
      </c>
      <c r="B25" s="71"/>
      <c r="C25" s="71"/>
      <c r="D25" s="71"/>
      <c r="E25" s="71"/>
      <c r="F25" s="71"/>
    </row>
    <row r="26" spans="1:6">
      <c r="A26" s="72" t="s">
        <v>79</v>
      </c>
      <c r="B26" s="72"/>
      <c r="C26" s="72"/>
      <c r="D26" s="72"/>
      <c r="E26" s="73" t="s">
        <v>63</v>
      </c>
      <c r="F26" s="73"/>
    </row>
    <row r="27" spans="1:6">
      <c r="A27" s="72" t="s">
        <v>80</v>
      </c>
      <c r="B27" s="72"/>
      <c r="C27" s="72"/>
      <c r="D27" s="72"/>
      <c r="E27" s="73">
        <v>4</v>
      </c>
      <c r="F27" s="73"/>
    </row>
    <row r="28" spans="1:6">
      <c r="A28" s="72" t="s">
        <v>81</v>
      </c>
      <c r="B28" s="72"/>
      <c r="C28" s="72"/>
      <c r="D28" s="72"/>
      <c r="E28" s="73" t="s">
        <v>104</v>
      </c>
      <c r="F28" s="73"/>
    </row>
    <row r="29" spans="1:6">
      <c r="A29" s="72" t="s">
        <v>82</v>
      </c>
      <c r="B29" s="72"/>
      <c r="C29" s="72"/>
      <c r="D29" s="72"/>
      <c r="E29" s="73">
        <v>1</v>
      </c>
      <c r="F29" s="73"/>
    </row>
    <row r="31" spans="1:6">
      <c r="A31" s="74" t="s">
        <v>83</v>
      </c>
      <c r="B31" s="74"/>
      <c r="C31" s="74"/>
      <c r="D31" s="74"/>
      <c r="E31" s="74"/>
      <c r="F31" s="74"/>
    </row>
  </sheetData>
  <autoFilter ref="A11:F23" xr:uid="{1A39DC68-3E11-4AC1-9E43-CCB04BB53F59}">
    <filterColumn colId="1">
      <filters>
        <filter val="นาย ก"/>
      </filters>
    </filterColumn>
    <filterColumn colId="2">
      <filters>
        <filter val="Toy"/>
      </filters>
    </filterColumn>
    <sortState xmlns:xlrd2="http://schemas.microsoft.com/office/spreadsheetml/2017/richdata2" ref="A12:F23">
      <sortCondition ref="D11:D23"/>
    </sortState>
  </autoFilter>
  <mergeCells count="18">
    <mergeCell ref="A31:F31"/>
    <mergeCell ref="A27:D27"/>
    <mergeCell ref="E27:F27"/>
    <mergeCell ref="A28:D28"/>
    <mergeCell ref="E28:F28"/>
    <mergeCell ref="A29:D29"/>
    <mergeCell ref="E29:F29"/>
    <mergeCell ref="A7:F7"/>
    <mergeCell ref="A8:F8"/>
    <mergeCell ref="A9:F9"/>
    <mergeCell ref="A25:F25"/>
    <mergeCell ref="A26:D26"/>
    <mergeCell ref="E26:F26"/>
    <mergeCell ref="A1:F1"/>
    <mergeCell ref="A2:F2"/>
    <mergeCell ref="A4:F4"/>
    <mergeCell ref="A5:F5"/>
    <mergeCell ref="A6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7E5-B844-45FA-8717-B7F4DF2C5122}">
  <dimension ref="B1:D2"/>
  <sheetViews>
    <sheetView workbookViewId="0">
      <selection activeCell="D3" sqref="D3"/>
    </sheetView>
  </sheetViews>
  <sheetFormatPr defaultRowHeight="16.5"/>
  <cols>
    <col min="4" max="4" width="17.875" customWidth="1"/>
  </cols>
  <sheetData>
    <row r="1" spans="2:4">
      <c r="B1" t="s">
        <v>69</v>
      </c>
      <c r="C1" t="s">
        <v>100</v>
      </c>
      <c r="D1" t="s">
        <v>101</v>
      </c>
    </row>
    <row r="2" spans="2:4">
      <c r="B2" t="s">
        <v>102</v>
      </c>
      <c r="C2" t="s">
        <v>103</v>
      </c>
      <c r="D2" t="str">
        <f>B2&amp;" "&amp;C2</f>
        <v>ภูกมล แสนทิพย์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BE50-2A32-4AB1-AC91-D98D78A43196}">
  <dimension ref="A1:E13"/>
  <sheetViews>
    <sheetView tabSelected="1" workbookViewId="0">
      <selection activeCell="B7" sqref="B7"/>
    </sheetView>
  </sheetViews>
  <sheetFormatPr defaultRowHeight="16.5"/>
  <cols>
    <col min="3" max="3" width="11.25" customWidth="1"/>
  </cols>
  <sheetData>
    <row r="1" spans="1:5">
      <c r="A1" s="31" t="s">
        <v>105</v>
      </c>
      <c r="B1" s="31" t="s">
        <v>106</v>
      </c>
      <c r="C1" s="31" t="s">
        <v>107</v>
      </c>
      <c r="D1" s="31" t="s">
        <v>108</v>
      </c>
      <c r="E1" s="31" t="s">
        <v>109</v>
      </c>
    </row>
    <row r="2" spans="1:5">
      <c r="A2" s="79">
        <v>1000000</v>
      </c>
      <c r="B2" s="80">
        <v>0.05</v>
      </c>
      <c r="C2" s="81">
        <v>4.1999999999999997E-3</v>
      </c>
      <c r="D2">
        <v>30</v>
      </c>
      <c r="E2">
        <v>360</v>
      </c>
    </row>
    <row r="4" spans="1:5">
      <c r="A4" t="s">
        <v>110</v>
      </c>
      <c r="B4" s="82">
        <f>PMT(C2,E2,-A2)</f>
        <v>5392.6890963378219</v>
      </c>
      <c r="D4" s="82"/>
    </row>
    <row r="6" spans="1:5">
      <c r="A6" s="31" t="s">
        <v>99</v>
      </c>
    </row>
    <row r="7" spans="1:5">
      <c r="A7">
        <v>30</v>
      </c>
    </row>
    <row r="8" spans="1:5">
      <c r="A8">
        <v>42</v>
      </c>
    </row>
    <row r="9" spans="1:5">
      <c r="A9">
        <v>50</v>
      </c>
    </row>
    <row r="10" spans="1:5">
      <c r="A10">
        <v>70</v>
      </c>
    </row>
    <row r="11" spans="1:5">
      <c r="A11">
        <v>45</v>
      </c>
    </row>
    <row r="13" spans="1:5">
      <c r="A13">
        <f>AVERAGE(A7:A11)</f>
        <v>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Sheet1</vt:lpstr>
      <vt:lpstr>Date and Time</vt:lpstr>
      <vt:lpstr>Paste Pattern</vt:lpstr>
      <vt:lpstr>Sheet3</vt:lpstr>
      <vt:lpstr>Fix Cell Reference</vt:lpstr>
      <vt:lpstr>refer cell</vt:lpstr>
      <vt:lpstr>Data Validationn</vt:lpstr>
      <vt:lpstr>รายการ</vt:lpstr>
      <vt:lpstr>Fill &amp; Handle</vt:lpstr>
      <vt:lpstr>Sort &amp; Filter</vt:lpstr>
      <vt:lpstr>Text</vt:lpstr>
      <vt:lpstr>คำนวณกู้บ้าน</vt:lpstr>
      <vt:lpstr>กว้าง</vt:lpstr>
      <vt:lpstr>ความกว้าง</vt:lpstr>
      <vt:lpstr>ความยาว</vt:lpstr>
      <vt:lpstr>พื้นที่</vt:lpstr>
      <vt:lpstr>ยาว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Weenawadee Muangon</dc:creator>
  <cp:lastModifiedBy>Guest-Student</cp:lastModifiedBy>
  <dcterms:created xsi:type="dcterms:W3CDTF">2026-07-19T04:12:29Z</dcterms:created>
  <dcterms:modified xsi:type="dcterms:W3CDTF">2026-07-22T04:23:06Z</dcterms:modified>
</cp:coreProperties>
</file>