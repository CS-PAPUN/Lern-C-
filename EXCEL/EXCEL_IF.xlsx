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st-Student\Documents\gg\"/>
    </mc:Choice>
  </mc:AlternateContent>
  <xr:revisionPtr revIDLastSave="0" documentId="13_ncr:1_{2B5FCE1C-C575-4597-93DA-C704600AA9D8}" xr6:coauthVersionLast="47" xr6:coauthVersionMax="47" xr10:uidLastSave="{00000000-0000-0000-0000-000000000000}"/>
  <bookViews>
    <workbookView xWindow="-120" yWindow="-120" windowWidth="29040" windowHeight="15720" firstSheet="3" activeTab="4" xr2:uid="{22889202-1D04-4E34-A4A3-8CA2B3258584}"/>
  </bookViews>
  <sheets>
    <sheet name="SUM" sheetId="1" r:id="rId1"/>
    <sheet name="IF FAIL" sheetId="2" r:id="rId2"/>
    <sheet name="IF_MATCH" sheetId="3" r:id="rId3"/>
    <sheet name="IF" sheetId="4" r:id="rId4"/>
    <sheet name="SUM_IF" sheetId="5" r:id="rId5"/>
    <sheet name="SUM_IF2" sheetId="6" r:id="rId6"/>
    <sheet name="COUNTIF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7" l="1"/>
  <c r="E26" i="6" a="1"/>
  <c r="E26" i="6" s="1"/>
  <c r="E22" i="6"/>
  <c r="E18" i="6"/>
  <c r="H21" i="5"/>
  <c r="H20" i="5"/>
  <c r="H18" i="5"/>
  <c r="H16" i="5"/>
  <c r="H15" i="5"/>
  <c r="D11" i="4"/>
  <c r="D12" i="4"/>
  <c r="D13" i="4"/>
  <c r="D14" i="4"/>
  <c r="D15" i="4"/>
  <c r="D16" i="4"/>
  <c r="D17" i="4"/>
  <c r="D6" i="3"/>
  <c r="D7" i="3"/>
  <c r="D8" i="3"/>
  <c r="D5" i="3"/>
  <c r="C6" i="2"/>
  <c r="C7" i="2"/>
  <c r="C8" i="2"/>
  <c r="C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<sst xmlns="http://schemas.openxmlformats.org/spreadsheetml/2006/main" count="187" uniqueCount="129">
  <si>
    <t>สินค้า</t>
  </si>
  <si>
    <t>ราคา/ชิ้น</t>
  </si>
  <si>
    <t>จำนวนชิ้น</t>
  </si>
  <si>
    <t>ยอดขาย</t>
  </si>
  <si>
    <t>อาหาร</t>
  </si>
  <si>
    <t>ของเล่น</t>
  </si>
  <si>
    <t>เสื้อผ้า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</si>
  <si>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</si>
  <si>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</si>
  <si>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</si>
  <si>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</si>
  <si>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</si>
  <si>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</si>
  <si>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</si>
  <si>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</si>
  <si>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</si>
  <si>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</si>
  <si>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</si>
  <si>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</si>
  <si>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</si>
  <si>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</si>
  <si>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</si>
  <si>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</si>
  <si>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 xml:space="preserve">$94.00 </t>
  </si>
  <si>
    <t>Journal Entry 2</t>
  </si>
  <si>
    <t xml:space="preserve">$109.00 </t>
  </si>
  <si>
    <t>Journal Entry 3</t>
  </si>
  <si>
    <t xml:space="preserve">$85.00 </t>
  </si>
  <si>
    <t xml:space="preserve">$85.50 </t>
  </si>
  <si>
    <t>Journal Entry 4</t>
  </si>
  <si>
    <t xml:space="preserve">$12.00 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</si>
  <si>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</si>
  <si>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</si>
  <si>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</si>
  <si>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</si>
  <si>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</si>
  <si>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</si>
  <si>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</si>
  <si>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</si>
  <si>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</si>
  <si>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</si>
  <si>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</si>
  <si>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</si>
  <si>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</si>
  <si>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</si>
  <si>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</si>
  <si>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</si>
  <si>
    <t>I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</si>
  <si>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</si>
  <si>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</si>
  <si>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</si>
  <si>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</si>
  <si>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</si>
  <si>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</si>
  <si>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</si>
  <si>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</si>
  <si>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</si>
  <si>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</si>
  <si>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</si>
  <si>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</si>
  <si>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</si>
  <si>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</si>
  <si>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</si>
  <si>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</si>
  <si>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</si>
  <si>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</si>
  <si>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</si>
  <si>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</si>
  <si>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</si>
  <si>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</si>
  <si>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</si>
  <si>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</si>
  <si>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</si>
  <si>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</si>
  <si>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</si>
  <si>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</si>
  <si>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</si>
  <si>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</si>
  <si>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</si>
  <si>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</si>
  <si>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</si>
  <si>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</si>
  <si>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</si>
  <si>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</si>
  <si>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</si>
  <si>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</si>
  <si>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</si>
  <si>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</si>
  <si>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</si>
  <si>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</si>
  <si>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 xml:space="preserve">What is the total number of medals won by both USA and Jamaica? </t>
  </si>
  <si>
    <t>ORDERNUMBER</t>
  </si>
  <si>
    <t>STATUS</t>
  </si>
  <si>
    <t>SALES</t>
  </si>
  <si>
    <t>COUNTRY</t>
  </si>
  <si>
    <t>PRODUCTLINE</t>
  </si>
  <si>
    <t>DEALSIZE</t>
  </si>
  <si>
    <t>QUANTITYORDERED</t>
  </si>
  <si>
    <t>PRICEEACH</t>
  </si>
  <si>
    <t>CUSTOMERNAME</t>
  </si>
  <si>
    <t>YEAR_ID</t>
  </si>
  <si>
    <t>Shipped</t>
  </si>
  <si>
    <t>Classic Cars</t>
  </si>
  <si>
    <t>Small</t>
  </si>
  <si>
    <t>Alpha Inc</t>
  </si>
  <si>
    <t>Cancelled</t>
  </si>
  <si>
    <t>Motorcycles</t>
  </si>
  <si>
    <t>Medium</t>
  </si>
  <si>
    <t>Beta Corp</t>
  </si>
  <si>
    <t>France</t>
  </si>
  <si>
    <t>Large</t>
  </si>
  <si>
    <t>Acme Co</t>
  </si>
  <si>
    <t>In Process</t>
  </si>
  <si>
    <t>Trucks and Buses</t>
  </si>
  <si>
    <t>Delta LLC</t>
  </si>
  <si>
    <t>Ships</t>
  </si>
  <si>
    <t>Gamma Ltd</t>
  </si>
  <si>
    <t>Resolved</t>
  </si>
  <si>
    <t>Omega Inc</t>
  </si>
  <si>
    <t>Trains</t>
  </si>
  <si>
    <t>Apex Group</t>
  </si>
  <si>
    <t>Zenith Co</t>
  </si>
  <si>
    <t>Planes</t>
  </si>
  <si>
    <t>Atlas Ltd</t>
  </si>
  <si>
    <t>Canada</t>
  </si>
  <si>
    <t>Apollo Inc</t>
  </si>
  <si>
    <r>
      <t xml:space="preserve">นับจำนวนรายการที่ </t>
    </r>
    <r>
      <rPr>
        <sz val="10"/>
        <color theme="1"/>
        <rFont val="Arial Unicode MS"/>
      </rPr>
      <t>STATUS = "Shipped"</t>
    </r>
  </si>
  <si>
    <t>นับจำนวนลูกค้าที่ขึ้นต้นชื่อด้วย "A"</t>
  </si>
  <si>
    <t>นับจำนวนรายการที่ยอดขายมากกว่า 5,000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</si>
</sst>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charset val="22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E101A"/>
      <name val="Aptos Narrow"/>
      <family val="2"/>
      <scheme val="minor"/>
    </font>
    <font>
      <sz val="11"/>
      <color rgb="FF000000"/>
      <name val="Aptos Narrow"/>
      <family val="2"/>
      <charset val="177"/>
      <scheme val="minor"/>
    </font>
    <font>
      <b/>
      <u/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u/>
      <sz val="10"/>
      <color rgb="FF374151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sz val="10"/>
      <color rgb="FF374151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2" fillId="2" borderId="2" xfId="0" applyFont="1" applyFill="1" applyBorder="1"/>
    <xf numFmtId="0" fontId="1" fillId="0" borderId="2" xfId="0" applyFont="1" applyBorder="1"/>
    <xf numFmtId="0" fontId="1" fillId="3" borderId="2" xfId="0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2" xfId="0" applyFont="1" applyBorder="1"/>
    <xf numFmtId="0" fontId="1" fillId="3" borderId="2" xfId="0" applyFont="1" applyFill="1" applyBorder="1"/>
    <xf numFmtId="0" fontId="1" fillId="0" borderId="4" xfId="0" applyFont="1" applyBorder="1"/>
    <xf numFmtId="9" fontId="1" fillId="0" borderId="2" xfId="0" applyNumberFormat="1" applyFont="1" applyBorder="1"/>
    <xf numFmtId="3" fontId="1" fillId="0" borderId="2" xfId="0" applyNumberFormat="1" applyFont="1" applyBorder="1"/>
    <xf numFmtId="3" fontId="1" fillId="3" borderId="2" xfId="0" applyNumberFormat="1" applyFont="1" applyFill="1" applyBorder="1"/>
    <xf numFmtId="0" fontId="2" fillId="0" borderId="1" xfId="0" applyFon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5" borderId="5" xfId="0" applyFont="1" applyFill="1" applyBorder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6" fillId="0" borderId="1" xfId="0" applyFont="1" applyBorder="1"/>
    <xf numFmtId="0" fontId="8" fillId="0" borderId="0" xfId="0" applyFont="1" applyAlignment="1">
      <alignment vertical="center"/>
    </xf>
    <xf numFmtId="0" fontId="9" fillId="0" borderId="0" xfId="1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4" borderId="1" xfId="0" applyFill="1" applyBorder="1"/>
    <xf numFmtId="0" fontId="6" fillId="4" borderId="1" xfId="0" applyFont="1" applyFill="1" applyBorder="1"/>
    <xf numFmtId="0" fontId="13" fillId="0" borderId="0" xfId="0" applyFont="1"/>
    <xf numFmtId="0" fontId="0" fillId="7" borderId="1" xfId="0" applyFill="1" applyBorder="1"/>
    <xf numFmtId="0" fontId="1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UpSkill\EXCEL_WORKBOOK_Solution.xlsx" TargetMode="External"/><Relationship Id="rId1" Type="http://schemas.openxmlformats.org/officeDocument/2006/relationships/externalLinkPath" Target="/Users/Lenovo/Desktop/UpSkill/EXCEL_WORKBOOK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"/>
      <sheetName val="IF FAIL"/>
      <sheetName val="IF_MATCH"/>
      <sheetName val="IF"/>
      <sheetName val="SUM_IF"/>
      <sheetName val="SUM_IF2"/>
      <sheetName val="COUNTIF"/>
      <sheetName val="CONCATENATE"/>
      <sheetName val="Remove Duplicate"/>
      <sheetName val="Trim"/>
      <sheetName val="MID"/>
      <sheetName val="SUBSTITU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7D8C-A1C6-4C78-8B38-1C4044E22691}">
  <dimension ref="A1:D4"/>
  <sheetViews>
    <sheetView workbookViewId="0">
      <selection activeCell="D2" sqref="D2:D4"/>
    </sheetView>
  </sheetViews>
  <sheetFormatPr defaultRowHeight="16.5"/>
  <sheetData>
    <row r="1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1" t="s">
        <v>4</v>
      </c>
      <c r="B2" s="2">
        <v>35</v>
      </c>
      <c r="C2" s="2">
        <v>100</v>
      </c>
      <c r="D2" s="35"/>
    </row>
    <row r="3" spans="1:4">
      <c r="A3" s="1" t="s">
        <v>5</v>
      </c>
      <c r="B3" s="2">
        <v>150</v>
      </c>
      <c r="C3" s="2">
        <v>10</v>
      </c>
      <c r="D3" s="35"/>
    </row>
    <row r="4" spans="1:4">
      <c r="A4" s="1" t="s">
        <v>6</v>
      </c>
      <c r="B4" s="2">
        <v>500</v>
      </c>
      <c r="C4" s="2">
        <v>5</v>
      </c>
      <c r="D4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E24C-C2AE-4077-AA0F-6A4FE2FCE04C}">
  <dimension ref="A1:C9"/>
  <sheetViews>
    <sheetView workbookViewId="0">
      <selection activeCell="C5" sqref="C5:C8"/>
    </sheetView>
  </sheetViews>
  <sheetFormatPr defaultRowHeight="16.5"/>
  <sheetData>
    <row r="1" spans="1:3">
      <c r="A1" s="3" t="s">
        <v>7</v>
      </c>
      <c r="B1" s="3"/>
      <c r="C1" s="3"/>
    </row>
    <row r="2" spans="1:3">
      <c r="A2" s="3" t="s">
        <v>8</v>
      </c>
      <c r="B2" s="3"/>
      <c r="C2" s="3"/>
    </row>
    <row r="3" spans="1:3">
      <c r="A3" s="3"/>
      <c r="B3" s="3"/>
      <c r="C3" s="3"/>
    </row>
    <row r="4" spans="1:3">
      <c r="A4" s="4" t="s">
        <v>9</v>
      </c>
      <c r="B4" s="4" t="s">
        <v>10</v>
      </c>
      <c r="C4" s="4" t="s">
        <v>11</v>
      </c>
    </row>
    <row r="5" spans="1:3">
      <c r="A5" s="5" t="s">
        <v>12</v>
      </c>
      <c r="B5" s="5">
        <v>98</v>
      </c>
      <c r="C5" s="6" t="str">
        <f>IF(B5&gt;=60,"Pass","Fail")</f>
        <v>Pass</v>
      </c>
    </row>
    <row r="6" spans="1:3">
      <c r="A6" s="5" t="s">
        <v>13</v>
      </c>
      <c r="B6" s="5">
        <v>55</v>
      </c>
      <c r="C6" s="6" t="str">
        <f t="shared" ref="C6:C8" si="0">IF(B6&gt;=60,"Pass","Fail")</f>
        <v>Fail</v>
      </c>
    </row>
    <row r="7" spans="1:3">
      <c r="A7" s="5" t="s">
        <v>14</v>
      </c>
      <c r="B7" s="5">
        <v>15</v>
      </c>
      <c r="C7" s="6" t="str">
        <f t="shared" si="0"/>
        <v>Fail</v>
      </c>
    </row>
    <row r="8" spans="1:3">
      <c r="A8" s="5" t="s">
        <v>15</v>
      </c>
      <c r="B8" s="5">
        <v>60</v>
      </c>
      <c r="C8" s="6" t="str">
        <f t="shared" si="0"/>
        <v>Pass</v>
      </c>
    </row>
    <row r="9" spans="1:3">
      <c r="A9" s="7"/>
      <c r="B9" s="3"/>
      <c r="C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BA33-77C7-40DA-8C65-087005F84DB4}">
  <dimension ref="A1:D8"/>
  <sheetViews>
    <sheetView workbookViewId="0">
      <selection activeCell="D5" sqref="D5:D8"/>
    </sheetView>
  </sheetViews>
  <sheetFormatPr defaultRowHeight="16.5"/>
  <sheetData>
    <row r="1" spans="1:4">
      <c r="A1" s="9" t="s">
        <v>16</v>
      </c>
      <c r="B1" s="10"/>
      <c r="C1" s="10"/>
      <c r="D1" s="10"/>
    </row>
    <row r="2" spans="1:4">
      <c r="A2" s="11"/>
      <c r="B2" s="10"/>
      <c r="C2" s="10"/>
      <c r="D2" s="10"/>
    </row>
    <row r="3" spans="1:4">
      <c r="A3" s="10"/>
      <c r="B3" s="3" t="s">
        <v>17</v>
      </c>
      <c r="C3" s="3" t="s">
        <v>18</v>
      </c>
      <c r="D3" s="10"/>
    </row>
    <row r="4" spans="1:4">
      <c r="A4" s="5"/>
      <c r="B4" s="5" t="s">
        <v>19</v>
      </c>
      <c r="C4" s="5" t="s">
        <v>20</v>
      </c>
      <c r="D4" s="12" t="s">
        <v>21</v>
      </c>
    </row>
    <row r="5" spans="1:4">
      <c r="A5" s="5" t="s">
        <v>22</v>
      </c>
      <c r="B5" s="5" t="s">
        <v>23</v>
      </c>
      <c r="C5" s="5" t="s">
        <v>23</v>
      </c>
      <c r="D5" s="13" t="str">
        <f>IF(B5=C5,"Match","no match")</f>
        <v>Match</v>
      </c>
    </row>
    <row r="6" spans="1:4">
      <c r="A6" s="5" t="s">
        <v>24</v>
      </c>
      <c r="B6" s="5" t="s">
        <v>25</v>
      </c>
      <c r="C6" s="5" t="s">
        <v>25</v>
      </c>
      <c r="D6" s="13" t="str">
        <f t="shared" ref="D6:D8" si="0">IF(B6=C6,"Match","no match")</f>
        <v>Match</v>
      </c>
    </row>
    <row r="7" spans="1:4">
      <c r="A7" s="5" t="s">
        <v>26</v>
      </c>
      <c r="B7" s="5" t="s">
        <v>27</v>
      </c>
      <c r="C7" s="5" t="s">
        <v>28</v>
      </c>
      <c r="D7" s="13" t="str">
        <f t="shared" si="0"/>
        <v>no match</v>
      </c>
    </row>
    <row r="8" spans="1:4">
      <c r="A8" s="14" t="s">
        <v>29</v>
      </c>
      <c r="B8" s="14" t="s">
        <v>30</v>
      </c>
      <c r="C8" s="14" t="s">
        <v>30</v>
      </c>
      <c r="D8" s="13" t="str">
        <f t="shared" si="0"/>
        <v>Match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0FF3-4CD2-4EE5-A323-A9BA06077CF9}">
  <dimension ref="A1:F17"/>
  <sheetViews>
    <sheetView workbookViewId="0">
      <selection activeCell="D12" sqref="D12"/>
    </sheetView>
  </sheetViews>
  <sheetFormatPr defaultRowHeight="16.5"/>
  <sheetData>
    <row r="1" spans="1:6">
      <c r="A1" s="3" t="s">
        <v>31</v>
      </c>
      <c r="B1" s="3"/>
      <c r="C1" s="3"/>
      <c r="D1" s="3"/>
    </row>
    <row r="2" spans="1:6">
      <c r="A2" s="3"/>
      <c r="B2" s="3"/>
      <c r="C2" s="3"/>
      <c r="D2" s="3"/>
    </row>
    <row r="3" spans="1:6">
      <c r="A3" s="3"/>
      <c r="B3" s="3" t="s">
        <v>32</v>
      </c>
      <c r="C3" s="3"/>
      <c r="D3" s="3"/>
    </row>
    <row r="4" spans="1:6">
      <c r="A4" s="5" t="s">
        <v>33</v>
      </c>
      <c r="B4" s="15">
        <v>1</v>
      </c>
      <c r="C4" s="3"/>
      <c r="D4" s="3"/>
    </row>
    <row r="5" spans="1:6">
      <c r="A5" s="5" t="s">
        <v>34</v>
      </c>
      <c r="B5" s="15">
        <v>0.5</v>
      </c>
      <c r="C5" s="3"/>
      <c r="D5" s="3"/>
    </row>
    <row r="6" spans="1:6">
      <c r="A6" s="3"/>
      <c r="B6" s="3"/>
      <c r="C6" s="3"/>
      <c r="D6" s="3"/>
    </row>
    <row r="7" spans="1:6">
      <c r="A7" s="3" t="s">
        <v>35</v>
      </c>
      <c r="B7" s="3"/>
      <c r="C7" s="3"/>
      <c r="D7" s="3"/>
    </row>
    <row r="8" spans="1:6">
      <c r="A8" s="3" t="s">
        <v>36</v>
      </c>
      <c r="B8" s="3"/>
      <c r="C8" s="3"/>
      <c r="D8" s="3"/>
    </row>
    <row r="9" spans="1:6">
      <c r="A9" s="3"/>
      <c r="B9" s="3"/>
      <c r="C9" s="3"/>
      <c r="D9" s="3"/>
    </row>
    <row r="10" spans="1:6">
      <c r="A10" s="12" t="s">
        <v>9</v>
      </c>
      <c r="B10" s="12" t="s">
        <v>37</v>
      </c>
      <c r="C10" s="12" t="s">
        <v>38</v>
      </c>
      <c r="D10" s="12" t="s">
        <v>39</v>
      </c>
    </row>
    <row r="11" spans="1:6">
      <c r="A11" s="5" t="s">
        <v>40</v>
      </c>
      <c r="B11" s="5" t="s">
        <v>33</v>
      </c>
      <c r="C11" s="16">
        <v>46866</v>
      </c>
      <c r="D11" s="17">
        <f>IF(B11="A+",100%,50%)*C11</f>
        <v>46866</v>
      </c>
    </row>
    <row r="12" spans="1:6">
      <c r="A12" s="5" t="s">
        <v>41</v>
      </c>
      <c r="B12" s="5" t="s">
        <v>34</v>
      </c>
      <c r="C12" s="16">
        <v>33495</v>
      </c>
      <c r="D12" s="17">
        <f t="shared" ref="D12:D17" si="0">IF(B12="A+",100%,50%)*C12</f>
        <v>16747.5</v>
      </c>
    </row>
    <row r="13" spans="1:6">
      <c r="A13" s="5" t="s">
        <v>42</v>
      </c>
      <c r="B13" s="5" t="s">
        <v>34</v>
      </c>
      <c r="C13" s="16">
        <v>35087</v>
      </c>
      <c r="D13" s="17">
        <f t="shared" si="0"/>
        <v>17543.5</v>
      </c>
      <c r="F13" t="s">
        <v>47</v>
      </c>
    </row>
    <row r="14" spans="1:6">
      <c r="A14" s="5" t="s">
        <v>43</v>
      </c>
      <c r="B14" s="5" t="s">
        <v>33</v>
      </c>
      <c r="C14" s="16">
        <v>42603</v>
      </c>
      <c r="D14" s="17">
        <f t="shared" si="0"/>
        <v>42603</v>
      </c>
    </row>
    <row r="15" spans="1:6">
      <c r="A15" s="5" t="s">
        <v>44</v>
      </c>
      <c r="B15" s="5" t="s">
        <v>34</v>
      </c>
      <c r="C15" s="16">
        <v>36971</v>
      </c>
      <c r="D15" s="17">
        <f t="shared" si="0"/>
        <v>18485.5</v>
      </c>
    </row>
    <row r="16" spans="1:6">
      <c r="A16" s="5" t="s">
        <v>45</v>
      </c>
      <c r="B16" s="5" t="s">
        <v>33</v>
      </c>
      <c r="C16" s="16">
        <v>41286</v>
      </c>
      <c r="D16" s="17">
        <f t="shared" si="0"/>
        <v>41286</v>
      </c>
    </row>
    <row r="17" spans="1:4">
      <c r="A17" s="5" t="s">
        <v>46</v>
      </c>
      <c r="B17" s="5" t="s">
        <v>34</v>
      </c>
      <c r="C17" s="16">
        <v>37732</v>
      </c>
      <c r="D17" s="17">
        <f t="shared" si="0"/>
        <v>18866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93F5-3470-4377-97B0-F8500F8CE18F}">
  <dimension ref="A1:H21"/>
  <sheetViews>
    <sheetView tabSelected="1" workbookViewId="0">
      <selection activeCell="O17" sqref="O17"/>
    </sheetView>
  </sheetViews>
  <sheetFormatPr defaultRowHeight="16.5"/>
  <cols>
    <col min="4" max="4" width="14.5" customWidth="1"/>
    <col min="7" max="7" width="13.75" customWidth="1"/>
  </cols>
  <sheetData>
    <row r="1" spans="1:8">
      <c r="A1" s="3"/>
      <c r="B1" s="18" t="s">
        <v>48</v>
      </c>
      <c r="C1" s="18" t="s">
        <v>49</v>
      </c>
      <c r="D1" s="18" t="s">
        <v>50</v>
      </c>
      <c r="E1" s="18" t="s">
        <v>51</v>
      </c>
      <c r="F1" s="3"/>
      <c r="G1" s="3"/>
      <c r="H1" s="3"/>
    </row>
    <row r="2" spans="1:8">
      <c r="A2" s="3"/>
      <c r="B2" s="19">
        <v>1</v>
      </c>
      <c r="C2" s="20">
        <v>8000</v>
      </c>
      <c r="D2" s="21" t="s">
        <v>52</v>
      </c>
      <c r="E2" s="21">
        <v>10</v>
      </c>
      <c r="F2" s="3"/>
      <c r="G2" s="3"/>
      <c r="H2" s="3"/>
    </row>
    <row r="3" spans="1:8">
      <c r="A3" s="3"/>
      <c r="B3" s="19">
        <v>2</v>
      </c>
      <c r="C3" s="20">
        <v>11000</v>
      </c>
      <c r="D3" s="21" t="s">
        <v>52</v>
      </c>
      <c r="E3" s="21">
        <v>9</v>
      </c>
      <c r="F3" s="3"/>
      <c r="G3" s="3"/>
      <c r="H3" s="3"/>
    </row>
    <row r="4" spans="1:8">
      <c r="A4" s="3"/>
      <c r="B4" s="19">
        <v>3</v>
      </c>
      <c r="C4" s="20">
        <v>6000</v>
      </c>
      <c r="D4" s="21" t="s">
        <v>53</v>
      </c>
      <c r="E4" s="21">
        <v>5</v>
      </c>
      <c r="F4" s="3"/>
      <c r="G4" s="3"/>
      <c r="H4" s="3"/>
    </row>
    <row r="5" spans="1:8">
      <c r="A5" s="3"/>
      <c r="B5" s="19">
        <v>4</v>
      </c>
      <c r="C5" s="20">
        <v>15000</v>
      </c>
      <c r="D5" s="21" t="s">
        <v>52</v>
      </c>
      <c r="E5" s="21">
        <v>10</v>
      </c>
      <c r="F5" s="3"/>
      <c r="G5" s="3"/>
      <c r="H5" s="3"/>
    </row>
    <row r="6" spans="1:8">
      <c r="A6" s="3"/>
      <c r="B6" s="19">
        <v>5</v>
      </c>
      <c r="C6" s="20">
        <v>10000</v>
      </c>
      <c r="D6" s="21" t="s">
        <v>53</v>
      </c>
      <c r="E6" s="21">
        <v>2</v>
      </c>
      <c r="F6" s="3"/>
      <c r="G6" s="3"/>
      <c r="H6" s="3"/>
    </row>
    <row r="7" spans="1:8">
      <c r="A7" s="3"/>
      <c r="B7" s="19">
        <v>6</v>
      </c>
      <c r="C7" s="20">
        <v>15000</v>
      </c>
      <c r="D7" s="21" t="s">
        <v>52</v>
      </c>
      <c r="E7" s="21">
        <v>5</v>
      </c>
      <c r="F7" s="3"/>
      <c r="G7" s="3"/>
      <c r="H7" s="3"/>
    </row>
    <row r="8" spans="1:8">
      <c r="A8" s="3"/>
      <c r="B8" s="19">
        <v>7</v>
      </c>
      <c r="C8" s="20">
        <v>13000</v>
      </c>
      <c r="D8" s="21" t="s">
        <v>52</v>
      </c>
      <c r="E8" s="21">
        <v>999</v>
      </c>
      <c r="F8" s="3"/>
      <c r="G8" s="3"/>
      <c r="H8" s="3"/>
    </row>
    <row r="9" spans="1:8">
      <c r="A9" s="3"/>
      <c r="B9" s="19">
        <v>8</v>
      </c>
      <c r="C9" s="20">
        <v>8000</v>
      </c>
      <c r="D9" s="21" t="s">
        <v>52</v>
      </c>
      <c r="E9" s="21">
        <v>2</v>
      </c>
      <c r="F9" s="3"/>
      <c r="G9" s="3"/>
      <c r="H9" s="3"/>
    </row>
    <row r="10" spans="1:8">
      <c r="A10" s="3"/>
      <c r="B10" s="19">
        <v>9</v>
      </c>
      <c r="C10" s="20">
        <v>11000</v>
      </c>
      <c r="D10" s="21" t="s">
        <v>53</v>
      </c>
      <c r="E10" s="21">
        <v>5</v>
      </c>
      <c r="F10" s="3"/>
      <c r="G10" s="3"/>
      <c r="H10" s="3"/>
    </row>
    <row r="11" spans="1:8">
      <c r="A11" s="3"/>
      <c r="B11" s="19">
        <v>10</v>
      </c>
      <c r="C11" s="20">
        <v>9000</v>
      </c>
      <c r="D11" s="21" t="s">
        <v>52</v>
      </c>
      <c r="E11" s="21">
        <v>6</v>
      </c>
      <c r="F11" s="3"/>
      <c r="G11" s="3"/>
      <c r="H11" s="3"/>
    </row>
    <row r="12" spans="1:8">
      <c r="A12" s="39"/>
      <c r="B12" s="39"/>
      <c r="C12" s="3"/>
      <c r="D12" s="3"/>
      <c r="E12" s="3"/>
      <c r="F12" s="3"/>
      <c r="G12" s="3"/>
      <c r="H12" s="3"/>
    </row>
    <row r="13" spans="1:8">
      <c r="A13" s="39"/>
      <c r="B13" s="39"/>
      <c r="C13" s="3"/>
      <c r="D13" s="3"/>
      <c r="E13" s="3"/>
      <c r="F13" s="3"/>
      <c r="G13" s="3"/>
      <c r="H13" s="3"/>
    </row>
    <row r="14" spans="1:8" ht="17.25" thickBot="1">
      <c r="A14" s="3"/>
      <c r="B14" s="22" t="s">
        <v>54</v>
      </c>
      <c r="C14" s="3"/>
      <c r="D14" s="3"/>
      <c r="E14" s="3"/>
      <c r="F14" s="3"/>
      <c r="G14" s="3"/>
      <c r="H14" s="3"/>
    </row>
    <row r="15" spans="1:8" ht="17.25" thickBot="1">
      <c r="A15" s="3">
        <v>1</v>
      </c>
      <c r="B15" s="3" t="s">
        <v>55</v>
      </c>
      <c r="C15" s="3"/>
      <c r="D15" s="3"/>
      <c r="E15" s="3"/>
      <c r="F15" s="3"/>
      <c r="G15" s="3"/>
      <c r="H15" s="23">
        <f>SUMIF(D2:D11,"Yes",C2:C11)</f>
        <v>79000</v>
      </c>
    </row>
    <row r="16" spans="1:8" ht="17.25" thickBot="1">
      <c r="A16" s="3">
        <v>2</v>
      </c>
      <c r="B16" s="3" t="s">
        <v>56</v>
      </c>
      <c r="C16" s="3"/>
      <c r="D16" s="3"/>
      <c r="E16" s="3"/>
      <c r="F16" s="3"/>
      <c r="G16" s="3"/>
      <c r="H16" s="23">
        <f>SUMIF(D3:D12,"No",C3:C12)</f>
        <v>27000</v>
      </c>
    </row>
    <row r="17" spans="1:8" ht="17.25" thickBot="1">
      <c r="A17" s="39"/>
      <c r="B17" s="39"/>
      <c r="C17" s="3"/>
      <c r="D17" s="3"/>
      <c r="E17" s="3"/>
      <c r="F17" s="3"/>
      <c r="G17" s="3"/>
      <c r="H17" s="3"/>
    </row>
    <row r="18" spans="1:8" ht="17.25" thickBot="1">
      <c r="A18" s="3">
        <v>3</v>
      </c>
      <c r="B18" s="3" t="s">
        <v>57</v>
      </c>
      <c r="C18" s="3"/>
      <c r="D18" s="3"/>
      <c r="E18" s="3"/>
      <c r="F18" s="3"/>
      <c r="G18" s="3"/>
      <c r="H18" s="23">
        <f>SUMIF(C2:C11,"&gt;10000",E2:E11)</f>
        <v>1028</v>
      </c>
    </row>
    <row r="19" spans="1:8" ht="17.25" thickBot="1">
      <c r="A19" s="39"/>
      <c r="B19" s="39"/>
      <c r="C19" s="3"/>
      <c r="D19" s="3"/>
      <c r="E19" s="3"/>
      <c r="F19" s="3"/>
      <c r="G19" s="3"/>
      <c r="H19" s="3"/>
    </row>
    <row r="20" spans="1:8" ht="17.25" thickBot="1">
      <c r="A20" s="3">
        <v>4</v>
      </c>
      <c r="B20" s="3" t="s">
        <v>58</v>
      </c>
      <c r="C20" s="3"/>
      <c r="D20" s="3"/>
      <c r="E20" s="3"/>
      <c r="F20" s="3"/>
      <c r="G20" s="3"/>
      <c r="H20" s="23">
        <f>SUMIF(C2:C11,"&gt;10000")</f>
        <v>65000</v>
      </c>
    </row>
    <row r="21" spans="1:8" ht="17.25" thickBot="1">
      <c r="A21" s="3">
        <v>5</v>
      </c>
      <c r="B21" s="3" t="s">
        <v>59</v>
      </c>
      <c r="C21" s="3"/>
      <c r="D21" s="3"/>
      <c r="E21" s="3"/>
      <c r="F21" s="3"/>
      <c r="G21" s="3"/>
      <c r="H21" s="23">
        <f>SUMIF(C2:C11,"&lt;9500")</f>
        <v>31000</v>
      </c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79F3-D489-49C6-B82B-122DA4F4A04C}">
  <dimension ref="A1:E27"/>
  <sheetViews>
    <sheetView topLeftCell="A13" workbookViewId="0">
      <selection activeCell="E27" sqref="E27"/>
    </sheetView>
  </sheetViews>
  <sheetFormatPr defaultRowHeight="16.5"/>
  <sheetData>
    <row r="1" spans="1:5">
      <c r="A1" s="24"/>
      <c r="B1" s="25" t="s">
        <v>60</v>
      </c>
      <c r="C1" s="24"/>
      <c r="D1" s="24"/>
      <c r="E1" s="24"/>
    </row>
    <row r="2" spans="1:5">
      <c r="A2" s="24"/>
      <c r="B2" s="26" t="s">
        <v>9</v>
      </c>
      <c r="C2" s="26" t="s">
        <v>61</v>
      </c>
      <c r="D2" s="26" t="s">
        <v>62</v>
      </c>
      <c r="E2" s="26" t="s">
        <v>63</v>
      </c>
    </row>
    <row r="3" spans="1:5">
      <c r="A3" s="24"/>
      <c r="B3" s="27" t="s">
        <v>64</v>
      </c>
      <c r="C3" s="27" t="s">
        <v>65</v>
      </c>
      <c r="D3" s="27" t="s">
        <v>66</v>
      </c>
      <c r="E3" s="27">
        <v>28</v>
      </c>
    </row>
    <row r="4" spans="1:5">
      <c r="A4" s="24"/>
      <c r="B4" s="27" t="s">
        <v>67</v>
      </c>
      <c r="C4" s="27" t="s">
        <v>68</v>
      </c>
      <c r="D4" s="27" t="s">
        <v>69</v>
      </c>
      <c r="E4" s="27">
        <v>8</v>
      </c>
    </row>
    <row r="5" spans="1:5">
      <c r="A5" s="24"/>
      <c r="B5" s="27" t="s">
        <v>70</v>
      </c>
      <c r="C5" s="27" t="s">
        <v>71</v>
      </c>
      <c r="D5" s="27" t="s">
        <v>66</v>
      </c>
      <c r="E5" s="27">
        <v>19</v>
      </c>
    </row>
    <row r="6" spans="1:5">
      <c r="A6" s="24"/>
      <c r="B6" s="27" t="s">
        <v>72</v>
      </c>
      <c r="C6" s="27" t="s">
        <v>73</v>
      </c>
      <c r="D6" s="27" t="s">
        <v>74</v>
      </c>
      <c r="E6" s="27">
        <v>2</v>
      </c>
    </row>
    <row r="7" spans="1:5">
      <c r="A7" s="24"/>
      <c r="B7" s="27" t="s">
        <v>75</v>
      </c>
      <c r="C7" s="27" t="s">
        <v>71</v>
      </c>
      <c r="D7" s="27" t="s">
        <v>76</v>
      </c>
      <c r="E7" s="27">
        <v>5</v>
      </c>
    </row>
    <row r="8" spans="1:5">
      <c r="A8" s="24"/>
      <c r="B8" s="27" t="s">
        <v>77</v>
      </c>
      <c r="C8" s="27" t="s">
        <v>68</v>
      </c>
      <c r="D8" s="27" t="s">
        <v>66</v>
      </c>
      <c r="E8" s="27">
        <v>9</v>
      </c>
    </row>
    <row r="9" spans="1:5">
      <c r="A9" s="24"/>
      <c r="B9" s="27" t="s">
        <v>78</v>
      </c>
      <c r="C9" s="27" t="s">
        <v>71</v>
      </c>
      <c r="D9" s="27" t="s">
        <v>79</v>
      </c>
      <c r="E9" s="27">
        <v>18</v>
      </c>
    </row>
    <row r="10" spans="1:5">
      <c r="A10" s="24"/>
      <c r="B10" s="27" t="s">
        <v>80</v>
      </c>
      <c r="C10" s="27" t="s">
        <v>65</v>
      </c>
      <c r="D10" s="27" t="s">
        <v>66</v>
      </c>
      <c r="E10" s="27">
        <v>11</v>
      </c>
    </row>
    <row r="11" spans="1:5">
      <c r="A11" s="24"/>
      <c r="B11" s="27" t="s">
        <v>81</v>
      </c>
      <c r="C11" s="27" t="s">
        <v>73</v>
      </c>
      <c r="D11" s="27" t="s">
        <v>82</v>
      </c>
      <c r="E11" s="27">
        <v>3</v>
      </c>
    </row>
    <row r="12" spans="1:5">
      <c r="A12" s="24"/>
      <c r="B12" s="27" t="s">
        <v>83</v>
      </c>
      <c r="C12" s="27" t="s">
        <v>68</v>
      </c>
      <c r="D12" s="27" t="s">
        <v>84</v>
      </c>
      <c r="E12" s="27">
        <v>15</v>
      </c>
    </row>
    <row r="13" spans="1:5">
      <c r="A13" s="40"/>
      <c r="B13" s="40"/>
      <c r="C13" s="24"/>
      <c r="D13" s="24"/>
      <c r="E13" s="24"/>
    </row>
    <row r="14" spans="1:5">
      <c r="A14" s="24"/>
      <c r="B14" s="28" t="s">
        <v>85</v>
      </c>
      <c r="C14" s="24"/>
      <c r="D14" s="24"/>
      <c r="E14" s="29"/>
    </row>
    <row r="15" spans="1:5">
      <c r="A15" s="40"/>
      <c r="B15" s="40"/>
      <c r="C15" s="24"/>
      <c r="D15" s="24"/>
      <c r="E15" s="24"/>
    </row>
    <row r="16" spans="1:5">
      <c r="A16" s="24">
        <v>1</v>
      </c>
      <c r="B16" s="30" t="s">
        <v>86</v>
      </c>
      <c r="C16" s="24"/>
      <c r="D16" s="24"/>
      <c r="E16" s="24"/>
    </row>
    <row r="17" spans="1:5">
      <c r="A17" s="40"/>
      <c r="B17" s="40"/>
      <c r="C17" s="31" t="s">
        <v>87</v>
      </c>
      <c r="D17" s="31"/>
      <c r="E17" s="24"/>
    </row>
    <row r="18" spans="1:5">
      <c r="A18" s="24"/>
      <c r="B18" s="32" t="s">
        <v>88</v>
      </c>
      <c r="C18" s="37"/>
      <c r="D18" s="24"/>
      <c r="E18" s="36">
        <f>SUMIF(D3:D12,"USA",E3:E12)</f>
        <v>67</v>
      </c>
    </row>
    <row r="19" spans="1:5">
      <c r="A19" s="40"/>
      <c r="B19" s="40"/>
      <c r="C19" s="24"/>
      <c r="D19" s="24"/>
      <c r="E19" s="24"/>
    </row>
    <row r="20" spans="1:5">
      <c r="A20" s="24">
        <v>2</v>
      </c>
      <c r="B20" s="30" t="s">
        <v>89</v>
      </c>
      <c r="C20" s="24"/>
      <c r="D20" s="24"/>
      <c r="E20" s="24"/>
    </row>
    <row r="21" spans="1:5">
      <c r="A21" s="40"/>
      <c r="B21" s="40"/>
      <c r="C21" s="31" t="s">
        <v>87</v>
      </c>
      <c r="D21" s="31"/>
      <c r="E21" s="24"/>
    </row>
    <row r="22" spans="1:5">
      <c r="A22" s="24"/>
      <c r="B22" s="32" t="s">
        <v>88</v>
      </c>
      <c r="C22" s="37"/>
      <c r="D22" s="24"/>
      <c r="E22" s="36">
        <f>SUMIF(C3:C12,"Figure Skating",E3:E12)</f>
        <v>5</v>
      </c>
    </row>
    <row r="23" spans="1:5">
      <c r="A23" s="40"/>
      <c r="B23" s="40"/>
      <c r="C23" s="24"/>
      <c r="D23" s="24"/>
      <c r="E23" s="24"/>
    </row>
    <row r="24" spans="1:5">
      <c r="A24" s="24">
        <v>3</v>
      </c>
      <c r="B24" s="30" t="s">
        <v>90</v>
      </c>
      <c r="C24" s="24"/>
      <c r="D24" s="24"/>
      <c r="E24" s="24"/>
    </row>
    <row r="25" spans="1:5">
      <c r="A25" s="40"/>
      <c r="B25" s="40"/>
      <c r="C25" s="31" t="s">
        <v>87</v>
      </c>
      <c r="D25" s="31"/>
      <c r="E25" s="24"/>
    </row>
    <row r="26" spans="1:5">
      <c r="A26" s="24"/>
      <c r="B26" s="32" t="s">
        <v>88</v>
      </c>
      <c r="C26" s="37"/>
      <c r="D26" s="24"/>
      <c r="E26" s="36" cm="1">
        <f t="array" ref="E26:E27">SUMIF(D3:D12,"USA",E3:E12)+[1]COUNTIF!$H$18+[1]SUM_IF!$K$19:$K$20</f>
        <v>67</v>
      </c>
    </row>
    <row r="27" spans="1:5">
      <c r="E27">
        <v>67</v>
      </c>
    </row>
  </sheetData>
  <mergeCells count="7">
    <mergeCell ref="A25:B25"/>
    <mergeCell ref="A13:B13"/>
    <mergeCell ref="A15:B15"/>
    <mergeCell ref="A17:B17"/>
    <mergeCell ref="A19:B19"/>
    <mergeCell ref="A21:B21"/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46FF-DB29-4915-9DF1-F1C555E85F03}">
  <dimension ref="A1:J16"/>
  <sheetViews>
    <sheetView workbookViewId="0">
      <selection activeCell="E15" sqref="E15"/>
    </sheetView>
  </sheetViews>
  <sheetFormatPr defaultRowHeight="16.5"/>
  <sheetData>
    <row r="1" spans="1:10">
      <c r="A1" s="33" t="s">
        <v>91</v>
      </c>
      <c r="B1" s="34" t="s">
        <v>92</v>
      </c>
      <c r="C1" s="34" t="s">
        <v>93</v>
      </c>
      <c r="D1" s="34" t="s">
        <v>94</v>
      </c>
      <c r="E1" s="34" t="s">
        <v>95</v>
      </c>
      <c r="F1" s="34" t="s">
        <v>96</v>
      </c>
      <c r="G1" s="34" t="s">
        <v>97</v>
      </c>
      <c r="H1" s="34" t="s">
        <v>98</v>
      </c>
      <c r="I1" s="34" t="s">
        <v>99</v>
      </c>
      <c r="J1" s="34" t="s">
        <v>100</v>
      </c>
    </row>
    <row r="2" spans="1:10">
      <c r="A2" s="2">
        <v>10101</v>
      </c>
      <c r="B2" s="1" t="s">
        <v>101</v>
      </c>
      <c r="C2" s="2">
        <v>4800</v>
      </c>
      <c r="D2" s="1" t="s">
        <v>66</v>
      </c>
      <c r="E2" s="1" t="s">
        <v>102</v>
      </c>
      <c r="F2" s="1" t="s">
        <v>103</v>
      </c>
      <c r="G2" s="2">
        <v>30</v>
      </c>
      <c r="H2" s="1">
        <v>100</v>
      </c>
      <c r="I2" s="1" t="s">
        <v>104</v>
      </c>
      <c r="J2" s="2">
        <v>2003</v>
      </c>
    </row>
    <row r="3" spans="1:10">
      <c r="A3" s="2">
        <v>10102</v>
      </c>
      <c r="B3" s="1" t="s">
        <v>105</v>
      </c>
      <c r="C3" s="2">
        <v>1500</v>
      </c>
      <c r="D3" s="1" t="s">
        <v>66</v>
      </c>
      <c r="E3" s="1" t="s">
        <v>106</v>
      </c>
      <c r="F3" s="1" t="s">
        <v>107</v>
      </c>
      <c r="G3" s="2">
        <v>20</v>
      </c>
      <c r="H3" s="1">
        <v>75</v>
      </c>
      <c r="I3" s="1" t="s">
        <v>108</v>
      </c>
      <c r="J3" s="2">
        <v>2003</v>
      </c>
    </row>
    <row r="4" spans="1:10">
      <c r="A4" s="2">
        <v>10103</v>
      </c>
      <c r="B4" s="1" t="s">
        <v>101</v>
      </c>
      <c r="C4" s="2">
        <v>5200</v>
      </c>
      <c r="D4" s="1" t="s">
        <v>109</v>
      </c>
      <c r="E4" s="1" t="s">
        <v>102</v>
      </c>
      <c r="F4" s="1" t="s">
        <v>110</v>
      </c>
      <c r="G4" s="2">
        <v>55</v>
      </c>
      <c r="H4" s="1">
        <v>95</v>
      </c>
      <c r="I4" s="1" t="s">
        <v>111</v>
      </c>
      <c r="J4" s="2">
        <v>2004</v>
      </c>
    </row>
    <row r="5" spans="1:10">
      <c r="A5" s="2">
        <v>10104</v>
      </c>
      <c r="B5" s="1" t="s">
        <v>112</v>
      </c>
      <c r="C5" s="2">
        <v>3000</v>
      </c>
      <c r="D5" s="1" t="s">
        <v>66</v>
      </c>
      <c r="E5" s="1" t="s">
        <v>113</v>
      </c>
      <c r="F5" s="1" t="s">
        <v>103</v>
      </c>
      <c r="G5" s="2">
        <v>10</v>
      </c>
      <c r="H5" s="1">
        <v>120</v>
      </c>
      <c r="I5" s="1" t="s">
        <v>114</v>
      </c>
      <c r="J5" s="2">
        <v>2003</v>
      </c>
    </row>
    <row r="6" spans="1:10">
      <c r="A6" s="2">
        <v>10105</v>
      </c>
      <c r="B6" s="1" t="s">
        <v>101</v>
      </c>
      <c r="C6" s="2">
        <v>6500</v>
      </c>
      <c r="D6" s="1" t="s">
        <v>74</v>
      </c>
      <c r="E6" s="1" t="s">
        <v>115</v>
      </c>
      <c r="F6" s="1" t="s">
        <v>110</v>
      </c>
      <c r="G6" s="2">
        <v>60</v>
      </c>
      <c r="H6" s="1">
        <v>150</v>
      </c>
      <c r="I6" s="1" t="s">
        <v>116</v>
      </c>
      <c r="J6" s="2">
        <v>2004</v>
      </c>
    </row>
    <row r="7" spans="1:10">
      <c r="A7" s="2">
        <v>10106</v>
      </c>
      <c r="B7" s="1" t="s">
        <v>117</v>
      </c>
      <c r="C7" s="2">
        <v>2800</v>
      </c>
      <c r="D7" s="1" t="s">
        <v>109</v>
      </c>
      <c r="E7" s="1" t="s">
        <v>102</v>
      </c>
      <c r="F7" s="1" t="s">
        <v>107</v>
      </c>
      <c r="G7" s="2">
        <v>40</v>
      </c>
      <c r="H7" s="1">
        <v>80</v>
      </c>
      <c r="I7" s="1" t="s">
        <v>118</v>
      </c>
      <c r="J7" s="2">
        <v>2005</v>
      </c>
    </row>
    <row r="8" spans="1:10">
      <c r="A8" s="2">
        <v>10107</v>
      </c>
      <c r="B8" s="1" t="s">
        <v>101</v>
      </c>
      <c r="C8" s="2">
        <v>7200</v>
      </c>
      <c r="D8" s="1" t="s">
        <v>66</v>
      </c>
      <c r="E8" s="1" t="s">
        <v>119</v>
      </c>
      <c r="F8" s="1" t="s">
        <v>103</v>
      </c>
      <c r="G8" s="2">
        <v>15</v>
      </c>
      <c r="H8" s="1">
        <v>110</v>
      </c>
      <c r="I8" s="1" t="s">
        <v>120</v>
      </c>
      <c r="J8" s="2">
        <v>2004</v>
      </c>
    </row>
    <row r="9" spans="1:10">
      <c r="A9" s="2">
        <v>10108</v>
      </c>
      <c r="B9" s="1" t="s">
        <v>101</v>
      </c>
      <c r="C9" s="2">
        <v>4100</v>
      </c>
      <c r="D9" s="1" t="s">
        <v>66</v>
      </c>
      <c r="E9" s="1" t="s">
        <v>106</v>
      </c>
      <c r="F9" s="1" t="s">
        <v>107</v>
      </c>
      <c r="G9" s="2">
        <v>25</v>
      </c>
      <c r="H9" s="1">
        <v>60</v>
      </c>
      <c r="I9" s="1" t="s">
        <v>121</v>
      </c>
      <c r="J9" s="2">
        <v>2005</v>
      </c>
    </row>
    <row r="10" spans="1:10">
      <c r="A10" s="2">
        <v>10109</v>
      </c>
      <c r="B10" s="1" t="s">
        <v>105</v>
      </c>
      <c r="C10" s="2">
        <v>1900</v>
      </c>
      <c r="D10" s="1" t="s">
        <v>66</v>
      </c>
      <c r="E10" s="1" t="s">
        <v>122</v>
      </c>
      <c r="F10" s="1" t="s">
        <v>103</v>
      </c>
      <c r="G10" s="2">
        <v>70</v>
      </c>
      <c r="H10" s="1">
        <v>105</v>
      </c>
      <c r="I10" s="1" t="s">
        <v>123</v>
      </c>
      <c r="J10" s="2">
        <v>2003</v>
      </c>
    </row>
    <row r="11" spans="1:10">
      <c r="A11" s="2">
        <v>10110</v>
      </c>
      <c r="B11" s="1" t="s">
        <v>112</v>
      </c>
      <c r="C11" s="2">
        <v>3100</v>
      </c>
      <c r="D11" s="1" t="s">
        <v>124</v>
      </c>
      <c r="E11" s="1" t="s">
        <v>115</v>
      </c>
      <c r="F11" s="1" t="s">
        <v>110</v>
      </c>
      <c r="G11" s="2">
        <v>50</v>
      </c>
      <c r="H11" s="1">
        <v>95</v>
      </c>
      <c r="I11" s="1" t="s">
        <v>125</v>
      </c>
      <c r="J11" s="2">
        <v>2004</v>
      </c>
    </row>
    <row r="14" spans="1:10">
      <c r="A14" t="s">
        <v>126</v>
      </c>
      <c r="E14" s="35">
        <f>COUNTIF(B2:B11,"Shipped")</f>
        <v>5</v>
      </c>
    </row>
    <row r="15" spans="1:10">
      <c r="A15" t="s">
        <v>127</v>
      </c>
      <c r="E15" s="35"/>
    </row>
    <row r="16" spans="1:10">
      <c r="A16" t="s">
        <v>128</v>
      </c>
      <c r="E16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</vt:lpstr>
      <vt:lpstr>IF FAIL</vt:lpstr>
      <vt:lpstr>IF_MATCH</vt:lpstr>
      <vt:lpstr>IF</vt:lpstr>
      <vt:lpstr>SUM_IF</vt:lpstr>
      <vt:lpstr>SUM_IF2</vt:lpstr>
      <vt:lpstr>COUNTIF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Weenawadee Muangon</dc:creator>
  <cp:lastModifiedBy>Guest-Student</cp:lastModifiedBy>
  <dcterms:created xsi:type="dcterms:W3CDTF">2026-07-10T06:46:39Z</dcterms:created>
  <dcterms:modified xsi:type="dcterms:W3CDTF">2026-07-22T04:31:34Z</dcterms:modified>
</cp:coreProperties>
</file>